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I M2 Cases" state="visible" r:id="rId4"/>
  </sheets>
  <calcPr calcId="171027"/>
</workbook>
</file>

<file path=xl/sharedStrings.xml><?xml version="1.0" encoding="utf-8"?>
<sst xmlns="http://schemas.openxmlformats.org/spreadsheetml/2006/main" count="2747" uniqueCount="1175">
  <si>
    <r>
      <rPr>
        <b/>
        <color rgb="FF000000"/>
        <rFont val="Arial"/>
      </rPr>
      <t xml:space="preserve">PRD- 
Figma- 
Clickup task - https://app.clickup.com/t/86d3yjxhh
</t>
    </r>
    <r>
      <rPr>
        <b/>
        <color rgb="FF000000"/>
        <rFont val="Arial"/>
      </rPr>
      <t xml:space="preserve">Scope: PII M2 (First Name, Email, Phone, Free text) on testa2 — today’s state: writes to Aisle DB + PII DB, reads from Aisle DB (read gates OFF).
Test data: synthetic +91 10xxxxxxxx accounts only (never the 106 series), OTP 1234, emails @example.test.
</t>
    </r>
    <r>
      <rPr>
        <b/>
        <color rgb="FF000000"/>
        <rFont val="Arial"/>
      </rPr>
      <t>Scroll Down to see the summary of this task</t>
    </r>
  </si>
  <si>
    <t>S/No</t>
  </si>
  <si>
    <t>Group</t>
  </si>
  <si>
    <t>Smoke Case</t>
  </si>
  <si>
    <t>Why</t>
  </si>
  <si>
    <t>Steps</t>
  </si>
  <si>
    <t>Verification Points</t>
  </si>
  <si>
    <t>Expected</t>
  </si>
  <si>
    <t>Android Results</t>
  </si>
  <si>
    <t>IOS Results</t>
  </si>
  <si>
    <t>Web Results</t>
  </si>
  <si>
    <t>CMS Results</t>
  </si>
  <si>
    <t>DB Results</t>
  </si>
  <si>
    <t>Suite</t>
  </si>
  <si>
    <t>Comments</t>
  </si>
  <si>
    <t>P0 — App / Onboarding</t>
  </si>
  <si>
    <t>New account: first name entered at onboarding is saved and shown</t>
  </si>
  <si>
    <t>Onboarding is the first First Name write (Aisle DB + PII DB).</t>
  </si>
  <si>
    <t xml:space="preserve">1. Install the testa2 build; tap Get Started.
 2. Enter a new +91 10xxxxxxxx number (never 106 series); OTP 1234.
 3. At 10% quick intro enter First name "QaAlpha" plus DOB, hometown, location, gender.
 4. Complete all steps to Discover.
 5. Open Profile tab, then Edit Profile → About.</t>
  </si>
  <si>
    <t xml:space="preserve">1. Profile tab header shows "QaAlpha".
 2. About editor first name shows "QaAlpha".</t>
  </si>
  <si>
    <t>The onboarding first name is shown exactly as entered on the Profile header and in the About editor.</t>
  </si>
  <si>
    <t>Test Pending</t>
  </si>
  <si>
    <t>Can't Test</t>
  </si>
  <si>
    <t>Not Required</t>
  </si>
  <si>
    <t>Smoke</t>
  </si>
  <si>
    <t xml:space="preserve">See also "PII - FirstName Smoke" S/No 1.
Web: web app URL / login not available (UI notes #6).</t>
  </si>
  <si>
    <t>Email entered at the 100% step is accepted and onboarding completes</t>
  </si>
  <si>
    <t>Onboarding is the only email write in the app (Account::Email.add_email → PII EMAIL).</t>
  </si>
  <si>
    <t xml:space="preserve">1. Continue a new account to 100% "Please share your email ID".
 2. Enter "qa.m2.&lt;run&gt;@example.test" and continue.
 3. Accept "Date with intention" consent, close the Premium sheet.</t>
  </si>
  <si>
    <t xml:space="preserve">1. No error at the email step.
 2. App lands on Discover.
 3. No email is shown elsewhere in the app.</t>
  </si>
  <si>
    <t>Onboarding completes with the email. The email is not displayed anywhere after onboarding (no email field found in the app — UI notes #1/#2). Stored value is checked in the DB cases.</t>
  </si>
  <si>
    <t xml:space="preserve">Known issue: onboarding email once not saved (UI notes #18).
Web: web app URL / login not available (UI notes #6).</t>
  </si>
  <si>
    <t>Phone number used at login is the phone on the profile</t>
  </si>
  <si>
    <t>New-user phone login writes the national number to PII PHONE.</t>
  </si>
  <si>
    <t xml:space="preserve">1. Log in with a new 10xxxxxxxx number; on the OTP screen note "+91 …".
 2. Complete onboarding.
 3. Open Edit Profile → About.</t>
  </si>
  <si>
    <t xml:space="preserve">1. OTP screen shows +91 and the number entered.
 2. About editor phone number = login number.</t>
  </si>
  <si>
    <t>The login number is shown on the OTP screen and in the About editor phone field.</t>
  </si>
  <si>
    <t>N/A</t>
  </si>
  <si>
    <t>Quick intro cannot be completed without a first name</t>
  </si>
  <si>
    <t>First name is mandatory; an empty name must not reach the DBs.</t>
  </si>
  <si>
    <t xml:space="preserve">1. New account, 10% quick intro.
 2. Fill every field except First name.
 3. Tap continue.</t>
  </si>
  <si>
    <t xml:space="preserve">1. The app does not continue to 20% Height.
 2. Screen text "All fields are mandatory." is visible.</t>
  </si>
  <si>
    <t>The user cannot continue without a first name; the screen states "All fields are mandatory."</t>
  </si>
  <si>
    <t>Sanity</t>
  </si>
  <si>
    <t xml:space="preserve">Exact validation message on submit: Expected behaviour to confirm with Dev.
Web: web app URL / login not available (UI notes #6).</t>
  </si>
  <si>
    <t>Onboarding the second time does not overwrite the first saved name</t>
  </si>
  <si>
    <t>Code writes the onboarding name only when no name is stored yet.</t>
  </si>
  <si>
    <t xml:space="preserve">1. New account: enter First name "QaFirst" at 10% and continue to 20%.
 2. Go back (or kill and relaunch) to the quick intro and change the name to "QaSecond".
 3. Complete onboarding; open Profile.</t>
  </si>
  <si>
    <t>Note which name the Profile header and About editor show.</t>
  </si>
  <si>
    <t>From code, update_application_information! assigns the first name only if none is stored, so the name saved first may remain. Record the shown name.</t>
  </si>
  <si>
    <t xml:space="preserve">From code — confirm with Dev (Aisle develop_new 944f76a, app/models/profile.rb:3347-3351). Whether the 10% step saves server-side: Expected behaviour to confirm with Dev.
Web: web app URL / login not available (UI notes #6).</t>
  </si>
  <si>
    <t>P1 — App / Onboarding validation</t>
  </si>
  <si>
    <t>First name with leading / trailing spaces is trimmed</t>
  </si>
  <si>
    <t>normalize_first_name strips the value.</t>
  </si>
  <si>
    <t xml:space="preserve">1. New account; enter "  QaTrim  " as First name.
 2. Complete onboarding; open Profile and About.</t>
  </si>
  <si>
    <t>Name shown without spaces.</t>
  </si>
  <si>
    <t>Name saved and shown as "QaTrim".</t>
  </si>
  <si>
    <t xml:space="preserve">From code — confirm with Dev (Aisle develop_new 944f76a, app/models/profile.rb:3137-3144, 6536-6540 — normalize_first_name).
Web: web app URL / login not available (UI notes #6).</t>
  </si>
  <si>
    <t>Whitespace-only first name is not saved</t>
  </si>
  <si>
    <t>assign_first_name ignores a blank value (no write).</t>
  </si>
  <si>
    <t xml:space="preserve">1. New account; enter only spaces as First name.
 2. Try to continue.</t>
  </si>
  <si>
    <t xml:space="preserve">1. Whether the app blocks it.
 2. If it continues, what name the profile shows.</t>
  </si>
  <si>
    <t>From code a blank name is never written. The app should not continue with no name.</t>
  </si>
  <si>
    <t>Regression</t>
  </si>
  <si>
    <t xml:space="preserve">From code — confirm with Dev (Aisle develop_new 944f76a, profile.rb:6536-6540). UI message: Expected behaviour to confirm with Dev.
Web: web app URL / login not available (UI notes #6).</t>
  </si>
  <si>
    <t>First name with an inner space keeps only letters</t>
  </si>
  <si>
    <t>Code removes every non A–Z character when the name has a Latin letter.</t>
  </si>
  <si>
    <t xml:space="preserve">1. New account; enter "Qa Test".
 2. Complete onboarding; open Profile.</t>
  </si>
  <si>
    <t>Name shown on header and About.</t>
  </si>
  <si>
    <t>Saved and shown as "QaTest".</t>
  </si>
  <si>
    <t>Hyphen and apostrophe are removed from the first name</t>
  </si>
  <si>
    <t>Normalisation drops punctuation.</t>
  </si>
  <si>
    <t xml:space="preserve">1. Account 1: enter "Anne-Marie"; account 2: enter "D'Souza".
 2. Complete onboarding; open Profile for each.</t>
  </si>
  <si>
    <t>Names shown.</t>
  </si>
  <si>
    <t>"AnneMarie" and "DSouza".</t>
  </si>
  <si>
    <t>Accented first name (e.g. "José")</t>
  </si>
  <si>
    <t>Accented letters are not A–Z; code drops them.</t>
  </si>
  <si>
    <t xml:space="preserve">1. New account; type "José" as First name.
 2. If accepted, complete onboarding; open Profile.</t>
  </si>
  <si>
    <t xml:space="preserve">1. Whether the keyboard/app accepts "é".
 2. Name shown if accepted.</t>
  </si>
  <si>
    <t>If the app accepts it, the saved name is "Jos" (from code). The earlier smoke run noted accented characters are not allowed from the frontend.</t>
  </si>
  <si>
    <t xml:space="preserve">From code — confirm with Dev (Aisle develop_new 944f76a, app/models/profile.rb:3137-3144, 6536-6540 — normalize_first_name). See also "PII - FirstName Smoke" S/No 11.
Web: web app URL / login not available (UI notes #6).</t>
  </si>
  <si>
    <t>Non-Latin-only first name is kept (e.g. "देवा")</t>
  </si>
  <si>
    <t>A value with no Latin letter is kept stripped.</t>
  </si>
  <si>
    <t xml:space="preserve">1. New account; enter "देवा" as First name.
 2. Complete onboarding; open Profile; view from account B.</t>
  </si>
  <si>
    <t>Name renders correctly on Profile, About and B’s Discover card.</t>
  </si>
  <si>
    <t>Saved and shown as "देवा", no broken characters.</t>
  </si>
  <si>
    <t>Mixed Latin and non-Latin first name keeps only the Latin part</t>
  </si>
  <si>
    <t>Any A–Z letter triggers removal of all other characters.</t>
  </si>
  <si>
    <t xml:space="preserve">1. New account; enter "Raj देव".
 2. Complete onboarding; open Profile.</t>
  </si>
  <si>
    <t>Name shown.</t>
  </si>
  <si>
    <t>Saved and shown as "Raj".</t>
  </si>
  <si>
    <t>Digits and emoji in the first name</t>
  </si>
  <si>
    <t>Digits and emoji are non A–Z characters.</t>
  </si>
  <si>
    <t xml:space="preserve">1. Account 1: enter "Qa123"; account 2: enter "Qa😀"; account 3: enter only "😀".
 2. Complete onboarding.</t>
  </si>
  <si>
    <t xml:space="preserve">1. Whether the app accepts each value.
 2. Names shown.</t>
  </si>
  <si>
    <t>If accepted: "Qa", "Qa" and "😀" (emoji-only has no Latin letter, so it is kept).</t>
  </si>
  <si>
    <t xml:space="preserve">From code — confirm with Dev (Aisle develop_new 944f76a, app/models/profile.rb:3137-3144, 6536-6540 — normalize_first_name). UI acceptance: Expected behaviour to confirm with Dev.
Web: web app URL / login not available (UI notes #6).</t>
  </si>
  <si>
    <t>Very long first name (60+ letters)</t>
  </si>
  <si>
    <t>No maximum length in the backend; UI limit unknown.</t>
  </si>
  <si>
    <t xml:space="preserve">1. New account; enter 60 Latin letters as First name.
 2. Complete onboarding; open Profile; view from B.</t>
  </si>
  <si>
    <t xml:space="preserve">1. Field limit, if any.
 2. Header / cards truncate cleanly without overlap.</t>
  </si>
  <si>
    <t>Backend has no maximum length (from code). UI limit and truncation: record.</t>
  </si>
  <si>
    <t xml:space="preserve">From code — confirm with Dev (Aisle develop_new 944f76a, profile.rb:35 validates presence only). Expected behaviour to confirm with Dev.
Web: web app URL / login not available (UI notes #6).</t>
  </si>
  <si>
    <t>Case of the first name is kept</t>
  </si>
  <si>
    <t>Normalisation keeps case.</t>
  </si>
  <si>
    <t xml:space="preserve">1. New account; enter "qaLOWER".
 2. Complete onboarding; open Profile.</t>
  </si>
  <si>
    <t>Shown as "qaLOWER" (no capitalisation).</t>
  </si>
  <si>
    <t>Email with spaces and capitals</t>
  </si>
  <si>
    <t>normalize_email only strips spaces; case is kept.</t>
  </si>
  <si>
    <t xml:space="preserve">1. New account; at 100% enter "  QA.M2.&lt;run&gt;@Example.Test  ".
 2. Complete onboarding.
 3. Check Aisle DB account_emails.name for A.</t>
  </si>
  <si>
    <t xml:space="preserve">1. App accepts it.
 2. Stored email has no spaces, case unchanged.</t>
  </si>
  <si>
    <t>Stored as "QA.M2.&lt;run&gt;@Example.Test".</t>
  </si>
  <si>
    <t xml:space="preserve">From code — confirm with Dev (Aisle develop_new 944f76a, app/models/account/email.rb:83-85).
Web: web app URL / login not available (UI notes #6).</t>
  </si>
  <si>
    <t>Invalid email format at the 100% step</t>
  </si>
  <si>
    <t>Bad emails must not be stored as the user’s email.</t>
  </si>
  <si>
    <t xml:space="preserve">1. New account; at 100% enter "qa.m2@" then "qa m2@example".
 2. Try to continue.
 3. If accepted, check Aisle DB account_emails.name.</t>
  </si>
  <si>
    <t xml:space="preserve">1. App validation message, if any.
 2. Stored email.</t>
  </si>
  <si>
    <t>From code the server replaces an invalid email with the fixed value "abc@gmail.com" (and writes it to PII). App-side validation: record.</t>
  </si>
  <si>
    <t xml:space="preserve">From code — confirm with Dev (Aisle develop_new 944f76a, app/models/user.rb:481-482, 784-790; config/initializers/constants.rb:34). Possible data-quality issue.
Web: web app URL / login not available (UI notes #6).</t>
  </si>
  <si>
    <t>Empty email at the 100% step</t>
  </si>
  <si>
    <t>Email is collected once; behaviour without it is unknown.</t>
  </si>
  <si>
    <t xml:space="preserve">1. New account; at 100% leave the email empty.
 2. Try to continue.</t>
  </si>
  <si>
    <t xml:space="preserve">1. Whether the app blocks or skips.
 2. Whether onboarding completes.</t>
  </si>
  <si>
    <t>Record behaviour; no crash.</t>
  </si>
  <si>
    <t xml:space="preserve">Expected behaviour to confirm with Dev. (M2Q-07)
Web: web app URL / login not available (UI notes #6).</t>
  </si>
  <si>
    <t>Kill the app at the email step and resume</t>
  </si>
  <si>
    <t>An onboarding email was once not saved.</t>
  </si>
  <si>
    <t xml:space="preserve">1. New account; at 100% enter the email and continue; kill the app immediately.
 2. Relaunch; finish onboarding.
 3. Check Aisle DB account_emails.name and the PII EMAIL row.</t>
  </si>
  <si>
    <t>Email stored once; app does not ask again or asks once.</t>
  </si>
  <si>
    <t>One stored email; no duplicate rows.</t>
  </si>
  <si>
    <t xml:space="preserve">Known issue to recheck (UI notes #18).
Web: web app URL / login not available (UI notes #6).</t>
  </si>
  <si>
    <t>Email with plus sign, digits and a long domain</t>
  </si>
  <si>
    <t>Valid but unusual emails must be kept.</t>
  </si>
  <si>
    <t xml:space="preserve">1. New account; enter "qa.m2+tag123@sub.example.test".
 2. Complete onboarding; check stored email.</t>
  </si>
  <si>
    <t>Accepted; stored unchanged.</t>
  </si>
  <si>
    <t>Stored as entered (strip only).</t>
  </si>
  <si>
    <t xml:space="preserve">From code — confirm with Dev (Aisle develop_new 944f76a, account/email.rb:83-85).
Web: web app URL / login not available (UI notes #6).</t>
  </si>
  <si>
    <t>Email already used by another account</t>
  </si>
  <si>
    <t>Duplicate emails share one Aisle DB email row; PII writes one EMAIL row per user.</t>
  </si>
  <si>
    <t xml:space="preserve">1. Onboard A with "qa.dup.&lt;run&gt;@example.test".
 2. Onboard B with the same email.
 3. Check both profiles in the app and DB.</t>
  </si>
  <si>
    <t xml:space="preserve">1. B can complete onboarding or gets a message.
 2. A’s profile is unaffected.</t>
  </si>
  <si>
    <t>From code B is not blocked: both profiles point to the same account_emails row and each user gets its own PII EMAIL row. Product rule: confirm.</t>
  </si>
  <si>
    <t xml:space="preserve">From code — confirm with Dev (Aisle develop_new 944f76a, account/email.rb:9-18). Expected behaviour to confirm with Dev. (M2Q-07)
Web: web app URL / login not available (UI notes #6).</t>
  </si>
  <si>
    <t>P0 — App / Login</t>
  </si>
  <si>
    <t>Returning user login keeps name and phone</t>
  </si>
  <si>
    <t>Existing-user login must not change PII.</t>
  </si>
  <si>
    <t xml:space="preserve">1. Log out from onboarded account A.
 2. Log in again with A’s number, OTP 1234.
 3. Open Profile and About.</t>
  </si>
  <si>
    <t xml:space="preserve">1. Same first name.
 2. Same phone number.</t>
  </si>
  <si>
    <t>A’s profile opens with the same first name and phone.</t>
  </si>
  <si>
    <t>See also "PII - FirstName Smoke" S/No 3.</t>
  </si>
  <si>
    <t>Wrong OTP is refused</t>
  </si>
  <si>
    <t>No account or PHONE row must be created without the right OTP.</t>
  </si>
  <si>
    <t xml:space="preserve">1. Enter a new 10xxxxxxxx number.
 2. Enter OTP 0000.</t>
  </si>
  <si>
    <t>Error shown; user stays on OTP screen.</t>
  </si>
  <si>
    <t>Login refused ("The entered OTP is invalid." is the server message seen on staging).</t>
  </si>
  <si>
    <t>Edit the number from the OTP screen</t>
  </si>
  <si>
    <t>The account must be created for the corrected number only.</t>
  </si>
  <si>
    <t xml:space="preserve">1. Enter number N1; on OTP screen tap Edit.
 2. Enter N2 (also 10xxxxxxxx); OTP 1234; onboard.
 3. Open About.</t>
  </si>
  <si>
    <t xml:space="preserve">1. OTP screen shows N2.
 2. About phone = N2.</t>
  </si>
  <si>
    <t>The account uses N2; N1 is not on the profile.</t>
  </si>
  <si>
    <t>Invalid phone input (too short, letters)</t>
  </si>
  <si>
    <t>Bad numbers must not create accounts.</t>
  </si>
  <si>
    <t xml:space="preserve">1. Enter 9 digits; try Get OTP.
 2. Try letters / symbols.</t>
  </si>
  <si>
    <t>App blocks or shows an error; no OTP screen for bad input.</t>
  </si>
  <si>
    <t>No login for invalid numbers (staging API returns no token for these).</t>
  </si>
  <si>
    <t>Known issue: keyboard hides Get OTP (UI notes #18). UI message: Expected behaviour to confirm with Dev.</t>
  </si>
  <si>
    <t>Pasted number with +91, spaces or a leading 0</t>
  </si>
  <si>
    <t>Formatting must not create a second account.</t>
  </si>
  <si>
    <t>On the phone screen paste "+91 10xx xxx xxx" (A’s number), then "010xxxxxxxx".</t>
  </si>
  <si>
    <t>Whether the app normalises it and logs into A, or refuses it.</t>
  </si>
  <si>
    <t>Never a new account for A’s number. Record behaviour.</t>
  </si>
  <si>
    <t>Expected behaviour to confirm with Dev.</t>
  </si>
  <si>
    <t>Login on a second device / after reinstall shows the right profile</t>
  </si>
  <si>
    <t>Cached data must not leak across installs.</t>
  </si>
  <si>
    <t xml:space="preserve">1. Log in as A on device 2 (or after reinstall).
 2. Open Profile, Matches, Chat.</t>
  </si>
  <si>
    <t>A’s name, phone and matches shown; nothing from a previous user of the device.</t>
  </si>
  <si>
    <t>Only A’s data is shown.</t>
  </si>
  <si>
    <t>P0 — App / Profile</t>
  </si>
  <si>
    <t>Edit first name in the About editor</t>
  </si>
  <si>
    <t>App edit is the main First Name update path (Aisle DB + PII DB).</t>
  </si>
  <si>
    <t xml:space="preserve">1. Log in as A.
 2. Profile → pencil → Edit Profile → About.
 3. Change First name to "QaEdited"; Save.
 4. Reopen Profile.</t>
  </si>
  <si>
    <t xml:space="preserve">1. Save succeeds (note any OTP / review step).
 2. Header and About show "QaEdited".</t>
  </si>
  <si>
    <t>New name shown on header and About.</t>
  </si>
  <si>
    <t xml:space="preserve">Saving the About editor not yet tried on testa2 (UI notes #1). Read gates are OFF on testa2: the app shows the Aisle DB value (M2Q-02).
Web: web app URL / login not available (UI notes #6).</t>
  </si>
  <si>
    <t>Edited first name is seen by the other user</t>
  </si>
  <si>
    <t>Other users’ lists use cached profiles.</t>
  </si>
  <si>
    <t xml:space="preserve">1. Needs an approved, matched synthetic pair (A male, B female; approval can take minutes).
 2. A edits name to "QaRenamed".
 3. B opens Matches, A’s chat header, A’s profile, Likes.</t>
  </si>
  <si>
    <t>Each surface shows "QaRenamed" (note any delay).</t>
  </si>
  <si>
    <t>B sees the new name. Propagation time to other users’ lists: record.</t>
  </si>
  <si>
    <t xml:space="preserve">Cache refresh for other users’ lists has no TTL in code (M2Q-12). Expected behaviour to confirm with Dev.
Web: web app URL / login not available (UI notes #6).</t>
  </si>
  <si>
    <t>Name stays correct after force-stop and relaunch</t>
  </si>
  <si>
    <t>Local cache must match the server.</t>
  </si>
  <si>
    <t xml:space="preserve">1. Note A’s name.
 2. Force-stop, relaunch, open Profile.</t>
  </si>
  <si>
    <t>Same name.</t>
  </si>
  <si>
    <t>Name unchanged after relaunch.</t>
  </si>
  <si>
    <t>Profile header, About and submitted name agree</t>
  </si>
  <si>
    <t>A header once showed "Test" for an account submitted as "Thejaswini".</t>
  </si>
  <si>
    <t xml:space="preserve">1. Onboard with a known name.
 2. Compare Profile header, About editor and CMS / DB value.</t>
  </si>
  <si>
    <t>All three identical.</t>
  </si>
  <si>
    <t>Header = About = submitted (normalised) name.</t>
  </si>
  <si>
    <t>Known issue to recheck (UI notes #2, #18).</t>
  </si>
  <si>
    <t>P1 — App / Profile edit</t>
  </si>
  <si>
    <t>Saving the same first name changes nothing</t>
  </si>
  <si>
    <t>Code skips the write when the name is unchanged.</t>
  </si>
  <si>
    <t>About editor: keep the name; change nothing; Save.</t>
  </si>
  <si>
    <t>Name unchanged; no error.</t>
  </si>
  <si>
    <t>No change (no new write).</t>
  </si>
  <si>
    <t xml:space="preserve">From code — confirm with Dev (Aisle develop_new 944f76a, profile.rb:3490).
Web: web app URL / login not available (UI notes #6).</t>
  </si>
  <si>
    <t>Clearing the first name in edit does not blank it</t>
  </si>
  <si>
    <t>Blank values are ignored by the edit path.</t>
  </si>
  <si>
    <t xml:space="preserve">1. About editor: delete the first name (or spaces only); Save.
 2. Reopen Profile.</t>
  </si>
  <si>
    <t xml:space="preserve">1. Whether the app blocks Save.
 2. Name shown afterwards.</t>
  </si>
  <si>
    <t>From code the old name is kept. App message: record.</t>
  </si>
  <si>
    <t xml:space="preserve">From code — confirm with Dev (Aisle develop_new 944f76a, profile.rb:3490 (first_name.present?)). Expected behaviour to confirm with Dev.
Web: web app URL / login not available (UI notes #6).</t>
  </si>
  <si>
    <t>Edited first name is normalised like onboarding</t>
  </si>
  <si>
    <t>Same assign_first_name path.</t>
  </si>
  <si>
    <t xml:space="preserve">1. About editor: set "Qa-Edit 2"; Save.
 2. Reopen Profile.</t>
  </si>
  <si>
    <t>"QaEdit".</t>
  </si>
  <si>
    <t>Change phone number in the About editor</t>
  </si>
  <si>
    <t>Phone is shown in the About editor; the save path is unknown.</t>
  </si>
  <si>
    <t xml:space="preserve">1. About editor: change phone to an unused 10xxxxxxxx number; Save.
 2. Note any OTP step.
 3. Log out; log in with the new and the old number.</t>
  </si>
  <si>
    <t xml:space="preserve">1. Whether the change is allowed / needs OTP.
 2. Which number logs into A.</t>
  </si>
  <si>
    <t>Record behaviour.</t>
  </si>
  <si>
    <t>Expected behaviour to confirm with Dev. Phone resync gaps open (M2Q-08).</t>
  </si>
  <si>
    <t>Change phone to a number used by another account</t>
  </si>
  <si>
    <t>Phone numbers must stay unique per account.</t>
  </si>
  <si>
    <t>About editor: set phone to B’s number (synthetic); Save.</t>
  </si>
  <si>
    <t>Error or refusal; B unaffected.</t>
  </si>
  <si>
    <t>Record behaviour; B’s account must not change.</t>
  </si>
  <si>
    <t>There is no email field to edit in the app</t>
  </si>
  <si>
    <t>Email edit path unknown (edit ignores personal_email).</t>
  </si>
  <si>
    <t>Check Edit Profile, About editor, Help Center, Manage Subscription.</t>
  </si>
  <si>
    <t>No email field / email edit option.</t>
  </si>
  <si>
    <t>No in-app email edit (UI notes #1).</t>
  </si>
  <si>
    <t xml:space="preserve">Supported way to change email: M2Q-07 open.
Web: web app URL / login not available (UI notes #6).</t>
  </si>
  <si>
    <t>Editing other profile fields keeps name and phone</t>
  </si>
  <si>
    <t>Field updates must not overwrite PII.</t>
  </si>
  <si>
    <t xml:space="preserve">1. Edit height, habits, My Story, photos order; Save each.
 2. Reopen Profile and About.</t>
  </si>
  <si>
    <t>First name and phone unchanged.</t>
  </si>
  <si>
    <t>Unchanged.</t>
  </si>
  <si>
    <t>Web: web app URL / login not available (UI notes #6).</t>
  </si>
  <si>
    <t>Reset Preferences keeps name and phone</t>
  </si>
  <si>
    <t>reset_preferences rebuilds own info.</t>
  </si>
  <si>
    <t xml:space="preserve">1. Open Reset Preferences; confirm.
 2. Open Profile and About.</t>
  </si>
  <si>
    <t>Name and phone unchanged.</t>
  </si>
  <si>
    <t>Email &amp; SMS unsubscribe keeps name, email and phone</t>
  </si>
  <si>
    <t>mail_subscription / sms_subscription return own details incl. email and phone.</t>
  </si>
  <si>
    <t xml:space="preserve">1. Help Center → Email &amp; SMS → Unsubscribe from Emails, then SMS.
 2. Reopen Profile.</t>
  </si>
  <si>
    <t xml:space="preserve">1. Toggles saved after relaunch.
 2. Name and phone unchanged.</t>
  </si>
  <si>
    <t>Settings saved; PII unchanged.</t>
  </si>
  <si>
    <t>P0 — App / Hide First Name</t>
  </si>
  <si>
    <t>Hide First Name toggle and its eligibility text</t>
  </si>
  <si>
    <t>Entry point for the masked name.</t>
  </si>
  <si>
    <t>Unverified account: Edit Profile → bottom (below Profile Sharing).</t>
  </si>
  <si>
    <t xml:space="preserve">1. Hide First Name toggle visible.
 2. Subtext "Must be selfie verified".</t>
  </si>
  <si>
    <t>Toggle shown with "Must be selfie verified".</t>
  </si>
  <si>
    <t>Unverified user cannot hide the name</t>
  </si>
  <si>
    <t>toggle_hide_name only acts for a verified selfie.</t>
  </si>
  <si>
    <t xml:space="preserve">1. Unverified A: tap Hide First Name.
 2. B opens A’s profile / Discover card.</t>
  </si>
  <si>
    <t xml:space="preserve">1. Toggle state after tap.
 2. B still sees A’s full name.</t>
  </si>
  <si>
    <t>Nothing changes; B sees the full name (server returns 200 without toggling).</t>
  </si>
  <si>
    <t>From code — confirm with Dev (Aisle develop_new 944f76a, profile.rb:6173-6190; users_controller.rb:255-258). UI reaction: Expected behaviour to confirm with Dev.</t>
  </si>
  <si>
    <t>Hidden name shows only the first letter to others</t>
  </si>
  <si>
    <t>Core hide-name behaviour.</t>
  </si>
  <si>
    <t xml:space="preserve">1. Needs an approved, matched synthetic pair (A male, B female; approval can take minutes). A selfie-verified.
 2. A turns Hide First Name ON.
 3. B checks Discover, For You, Likes, Matches, Chat header, Comments.</t>
  </si>
  <si>
    <t>Every surface shows only A’s first letter, capitalised (e.g. "Q").</t>
  </si>
  <si>
    <t>Others see the capitalised first letter only.</t>
  </si>
  <si>
    <t>From code — confirm with Dev (Aisle develop_new 944f76a, profile.rb:3125-3133). Needs a selfie-verified synthetic account (M2Q-32 open). See also "PII - FirstName Smoke" S/No 5.</t>
  </si>
  <si>
    <t>Owner still sees the full name while hidden</t>
  </si>
  <si>
    <t>Own profile uses the unmasked name.</t>
  </si>
  <si>
    <t>A (verified, hidden ON) opens Profile and About.</t>
  </si>
  <si>
    <t>Full name shown.</t>
  </si>
  <si>
    <t>Owner sees the full first name.</t>
  </si>
  <si>
    <t>From code — confirm with Dev (Aisle develop_new 944f76a, own_general_information uses get_first_name). Needs a selfie-verified synthetic account (M2Q-32 open).</t>
  </si>
  <si>
    <t>Turning Hide First Name OFF restores the full name</t>
  </si>
  <si>
    <t>Unhide must undo masking everywhere.</t>
  </si>
  <si>
    <t xml:space="preserve">1. A turns Hide First Name OFF.
 2. B refreshes the same surfaces.</t>
  </si>
  <si>
    <t>Full name shown again.</t>
  </si>
  <si>
    <t>B sees the full first name.</t>
  </si>
  <si>
    <t>Needs a selfie-verified synthetic account (M2Q-32 open). See also "PII - FirstName Smoke" S/No 6.</t>
  </si>
  <si>
    <t>Hide state survives relaunch and re-login</t>
  </si>
  <si>
    <t>Setting must persist server-side.</t>
  </si>
  <si>
    <t xml:space="preserve">1. A hidden ON; force-stop and relaunch; log out and in.
 2. Check toggle and B’s view.</t>
  </si>
  <si>
    <t>Toggle still ON; B still sees the initial.</t>
  </si>
  <si>
    <t>State persists.</t>
  </si>
  <si>
    <t>Needs a selfie-verified synthetic account (M2Q-32 open). See also "PII - FirstName Smoke" S/No 7.</t>
  </si>
  <si>
    <t>Hidden non-Latin name shows its first character</t>
  </si>
  <si>
    <t>Masking takes the first character.</t>
  </si>
  <si>
    <t xml:space="preserve">1. Verified A with name "देवा"; Hide ON.
 2. B opens A’s card.</t>
  </si>
  <si>
    <t>Shown value.</t>
  </si>
  <si>
    <t>"द" (first character).</t>
  </si>
  <si>
    <t>From code — confirm with Dev (Aisle develop_new 944f76a, profile.rb:3125-3133). Needs a selfie-verified synthetic account (M2Q-32 open).</t>
  </si>
  <si>
    <t>Renaming while hidden keeps the mask</t>
  </si>
  <si>
    <t>Mask must follow the new name.</t>
  </si>
  <si>
    <t xml:space="preserve">1. Verified A hidden ON renames "QaOne" → "ZaTwo".
 2. B refreshes.</t>
  </si>
  <si>
    <t>B sees "Z".</t>
  </si>
  <si>
    <t>Initial of the new name.</t>
  </si>
  <si>
    <t>Needs a selfie-verified synthetic account (M2Q-32 open).</t>
  </si>
  <si>
    <t>P0 — App / Engagement</t>
  </si>
  <si>
    <t>Discover card and sticky header show the right name</t>
  </si>
  <si>
    <t>Discover is the main consumer of other users’ names.</t>
  </si>
  <si>
    <t xml:space="preserve">1. Needs an approved, matched synthetic pair (A male, B female; approval can take minutes).
 2. B opens Discover until A’s card appears.
 3. Scroll the card.</t>
  </si>
  <si>
    <t>Name under photo and sticky header = A’s name.</t>
  </si>
  <si>
    <t>A’s current first name on both.</t>
  </si>
  <si>
    <t>Empty Discover on ~50% of new accounts (UI notes #18). See also "PII - FirstName Smoke" S/No 12.</t>
  </si>
  <si>
    <t>For You card and detail show the right name</t>
  </si>
  <si>
    <t>Separate list API (matches_list / recommendations).</t>
  </si>
  <si>
    <t>B opens For You; open A’s card detail.</t>
  </si>
  <si>
    <t>Card and detail show the same, correct name.</t>
  </si>
  <si>
    <t>A’s name on card and detail.</t>
  </si>
  <si>
    <t>Concierge grid shows the right names</t>
  </si>
  <si>
    <t>fetch_concierge_list reads first names.</t>
  </si>
  <si>
    <t>Account with Concierge access opens the Concierge grid.</t>
  </si>
  <si>
    <t>Each tile name matches the profile opened from it.</t>
  </si>
  <si>
    <t>Names match their profiles.</t>
  </si>
  <si>
    <t>Concierge seen only on the UI team’s reserved account; QA needs its own (M2Q-32).</t>
  </si>
  <si>
    <t>Likes You shows the liker’s name (entitled) or blur (free)</t>
  </si>
  <si>
    <t>Likes list hydrates names in batch.</t>
  </si>
  <si>
    <t xml:space="preserve">1. Needs an approved, matched synthetic pair (A male, B female; approval can take minutes). A likes B.
 2. B (entitled) opens Likes You.
 3. Repeat with a free / unverified B.</t>
  </si>
  <si>
    <t xml:space="preserve">1. Entitled: tile shows A’s name.
 2. Free / unverified: tile blurred, no name readable.</t>
  </si>
  <si>
    <t>Name for entitled users; blurred for free / unverified.</t>
  </si>
  <si>
    <t xml:space="preserve">Paid state is backend-granted only (UI notes #16). Known issue: likes_received_count=0 while likes visible.
Web: web app URL / login not available (UI notes #6).</t>
  </si>
  <si>
    <t>Comments card shows commenter name and age</t>
  </si>
  <si>
    <t>Comments list reads names.</t>
  </si>
  <si>
    <t xml:space="preserve">1. A sends a comment on B’s profile.
 2. B opens the Comments stacked card.</t>
  </si>
  <si>
    <t>Name and age = A’s.</t>
  </si>
  <si>
    <t>A’s name and age.</t>
  </si>
  <si>
    <t>Comment Review list shows the right name</t>
  </si>
  <si>
    <t>Separate comment list.</t>
  </si>
  <si>
    <t>B opens Comment Review list.</t>
  </si>
  <si>
    <t>Commenter name = A’s.</t>
  </si>
  <si>
    <t>A’s name.</t>
  </si>
  <si>
    <t>Seen on prod only (UI notes #3).</t>
  </si>
  <si>
    <t>Your Likes and Recent Passes show the right names</t>
  </si>
  <si>
    <t>Sent-like and pass lists.</t>
  </si>
  <si>
    <t xml:space="preserve">1. A likes C and passes D.
 2. A opens Your Likes and Recent Passes.</t>
  </si>
  <si>
    <t>Rows show C and D with distance.</t>
  </si>
  <si>
    <t>Correct names per row.</t>
  </si>
  <si>
    <t>See also "PII - FirstName Smoke" S/No 13.</t>
  </si>
  <si>
    <t>Matches row shows the match’s name and last message</t>
  </si>
  <si>
    <t>Connection list (list_connected_profiles).</t>
  </si>
  <si>
    <t xml:space="preserve">1. Needs an approved, matched synthetic pair (A male, B female; approval can take minutes).
 2. A opens Matches.</t>
  </si>
  <si>
    <t xml:space="preserve">1. Row name = B.
 2. Preview = last message or "Send a message"; tag YOUR TURN / MESSAGE FIRST.</t>
  </si>
  <si>
    <t>B’s name with the correct preview and tag.</t>
  </si>
  <si>
    <t xml:space="preserve">Known issue: matches_list_v3 returns 0 while Matches shows rows (UI notes #18).
Web: web app URL / login not available (UI notes #6).</t>
  </si>
  <si>
    <t>Chat header shows the match’s name</t>
  </si>
  <si>
    <t>Chat screen reads the other user’s name.</t>
  </si>
  <si>
    <t xml:space="preserve">1. Needs an approved, matched synthetic pair (A male, B female; approval can take minutes).
 2. A opens chat with B.</t>
  </si>
  <si>
    <t>Header name = B.</t>
  </si>
  <si>
    <t>B’s current name.</t>
  </si>
  <si>
    <t xml:space="preserve">See also "PII - FirstName Smoke" S/No 14.
Web: web app URL / login not available (UI notes #6).</t>
  </si>
  <si>
    <t>Love Stories show names without contact details</t>
  </si>
  <si>
    <t>Stories carry name, email, phone in CMS.</t>
  </si>
  <si>
    <t>Open Love Stories.</t>
  </si>
  <si>
    <t>Names render; no email or phone visible.</t>
  </si>
  <si>
    <t>No email / phone in the app view.</t>
  </si>
  <si>
    <t>P1 — App / Engagement</t>
  </si>
  <si>
    <t>Two profiles with the same first name stay distinct</t>
  </si>
  <si>
    <t>Same names must not mix profiles.</t>
  </si>
  <si>
    <t xml:space="preserve">1. Onboard C and D both "QaSame" (different photos / age).
 2. B opens each from Discover / Likes.</t>
  </si>
  <si>
    <t>Each opens its own photos, age and actions.</t>
  </si>
  <si>
    <t>No mix-up.</t>
  </si>
  <si>
    <t>See also "PII - FirstName Smoke" S/No 10.</t>
  </si>
  <si>
    <t>Non-Latin and long names render on cards and lists</t>
  </si>
  <si>
    <t>Layout must handle all valid names.</t>
  </si>
  <si>
    <t>B views A ("देवा") and C (60 letters) on Discover, Likes, Matches, Chat.</t>
  </si>
  <si>
    <t>Readable; truncation clean; no overlap.</t>
  </si>
  <si>
    <t>Names render correctly.</t>
  </si>
  <si>
    <t>Live audio, Speed dating, Polls, Top matches</t>
  </si>
  <si>
    <t>These APIs read first names but the screens were not found.</t>
  </si>
  <si>
    <t xml:space="preserve">1. Look for each surface in the testa2 build.
 2. If found, compare names with profiles.</t>
  </si>
  <si>
    <t xml:space="preserve">1. Surface found?
 2. Names correct.</t>
  </si>
  <si>
    <t>Names correct where available.</t>
  </si>
  <si>
    <t>Surfaces not found on testa2 build (UI notes #3); event / room ids are Dev-only (M2Q-45).</t>
  </si>
  <si>
    <t>P0 — App / Privacy</t>
  </si>
  <si>
    <t>Other users’ email and phone are never shown</t>
  </si>
  <si>
    <t>Email and phone are owner-only.</t>
  </si>
  <si>
    <t>B opens A’s Discover card, For You detail, Likes tile, Matches row, chat, Comments card.</t>
  </si>
  <si>
    <t>No email or phone of A anywhere.</t>
  </si>
  <si>
    <t>Only the owner sees their email / phone.</t>
  </si>
  <si>
    <t xml:space="preserve">From code — confirm with Dev (Aisle develop_new 944f76a, profile.rb:6173-6190, 5288-5290). (M2Q-14)
Web: web app URL / login not available (UI notes #6).</t>
  </si>
  <si>
    <t>Profile share text and link carry no contact details</t>
  </si>
  <si>
    <t>Shared links leave the app.</t>
  </si>
  <si>
    <t xml:space="preserve">1. B: Discover card → share icon → "Recommend to a friend" → Recommend now.
 2. Copy the share text from the share sheet.</t>
  </si>
  <si>
    <t xml:space="preserve">1. Text "I think you two will be a great fit - …" + deep link.
 2. No email or phone; note whether any name is in the URL.</t>
  </si>
  <si>
    <t>No email / phone in text or link.</t>
  </si>
  <si>
    <t>Name in the deep link: Expected behaviour to confirm with Dev.</t>
  </si>
  <si>
    <t>Opening a shared profile link</t>
  </si>
  <si>
    <t>Shared-link page reads the profile.</t>
  </si>
  <si>
    <t>Open the deep link from the share case on another device / browser.</t>
  </si>
  <si>
    <t>Which profile opens; no email / phone shown.</t>
  </si>
  <si>
    <t>Shared profile opens without contact details.</t>
  </si>
  <si>
    <t xml:space="preserve">Opened link not yet seen (UI notes #9). Expected behaviour to confirm with Dev.
Web: web app URL / login not available (UI notes #6).</t>
  </si>
  <si>
    <t>Profile Sharing toggle OFF hides the share option</t>
  </si>
  <si>
    <t>Sharing consent.</t>
  </si>
  <si>
    <t xml:space="preserve">1. A turns Profile Sharing OFF in Edit Profile.
 2. B opens A’s Discover card.</t>
  </si>
  <si>
    <t>Share icon / recommend option for A.</t>
  </si>
  <si>
    <t>Toggle untested (UI notes #9). Expected behaviour to confirm with Dev.</t>
  </si>
  <si>
    <t>Help Center shows REF ID, not email or phone</t>
  </si>
  <si>
    <t>Support footer is user-visible.</t>
  </si>
  <si>
    <t>Open Help Center; scroll to footer.</t>
  </si>
  <si>
    <t>REF ID + app version only.</t>
  </si>
  <si>
    <t>No email or phone.</t>
  </si>
  <si>
    <t>Support Lounge and "What’s Your Story" pages</t>
  </si>
  <si>
    <t>In-app web pages may prefill user data.</t>
  </si>
  <si>
    <t>Open Support Lounge and What’s Your Story.</t>
  </si>
  <si>
    <t xml:space="preserve">1. Any prefilled name / email / phone is the owner’s.
 2. Nothing of another user.</t>
  </si>
  <si>
    <t>Only own data, if any.</t>
  </si>
  <si>
    <t>Android debug logs during login and onboarding</t>
  </si>
  <si>
    <t>Tester-visible logs must not hold PII or tokens.</t>
  </si>
  <si>
    <t xml:space="preserve">1. Connect the debug build to logcat.
 2. Log in, onboard, edit name, send a chat.</t>
  </si>
  <si>
    <t>Search logcat for the number, email, name, message text, "Bearer".</t>
  </si>
  <si>
    <t>Record what appears; report any token or PII.</t>
  </si>
  <si>
    <t>Expected behaviour to confirm with Dev. Server logs: M2Q-26.</t>
  </si>
  <si>
    <t>Blocked / reported user flows show no contact details</t>
  </si>
  <si>
    <t>Moderation UIs reuse profile data.</t>
  </si>
  <si>
    <t>Open the report / block menu on B’s profile (do not submit a report).</t>
  </si>
  <si>
    <t>No email / phone of B.</t>
  </si>
  <si>
    <t>No contact details.</t>
  </si>
  <si>
    <t>Do not file reports (M2Q-45).</t>
  </si>
  <si>
    <t>P0 — App / Free text</t>
  </si>
  <si>
    <t>My Story is saved and shown to others</t>
  </si>
  <si>
    <t>Story ("about") is encrypted free text.</t>
  </si>
  <si>
    <t xml:space="preserve">1. A: Edit Profile → My Story; enter "FT story &lt;run&gt;"; Save.
 2. B opens A’s Discover card.</t>
  </si>
  <si>
    <t xml:space="preserve">1. A sees the story after reopen.
 2. B sees the same text.</t>
  </si>
  <si>
    <t>Identical text for A and B.</t>
  </si>
  <si>
    <t xml:space="preserve">My Story seen on prod (UI notes #5). Free-text encryption switches on testa2 unknown (M2Q-27, parked).
Web: web app URL / login not available (UI notes #6).</t>
  </si>
  <si>
    <t>My Story 500-character limit</t>
  </si>
  <si>
    <t>Limit of the story field.</t>
  </si>
  <si>
    <t>Paste 520 characters into My Story.</t>
  </si>
  <si>
    <t xml:space="preserve">1. Input stops at 500 / counter.
 2. Saved text = 500 characters.</t>
  </si>
  <si>
    <t>At most 500 characters saved.</t>
  </si>
  <si>
    <t>Editing My Story replaces the old text everywhere</t>
  </si>
  <si>
    <t>No stale story to viewers.</t>
  </si>
  <si>
    <t xml:space="preserve">1. A changes story to "FT story v2 &lt;run&gt;".
 2. B refreshes A’s card.</t>
  </si>
  <si>
    <t>Only v2 shown.</t>
  </si>
  <si>
    <t>New text only.</t>
  </si>
  <si>
    <t>P1 — App / Free text</t>
  </si>
  <si>
    <t>My Story with emoji, non-Latin and special characters</t>
  </si>
  <si>
    <t>Free text is not normalised like names.</t>
  </si>
  <si>
    <t xml:space="preserve">1. Story: "नमस्ते 😀 &lt;b&gt;hi&lt;/b&gt; &amp; 'quote'"; Save.
 2. View as A and B.</t>
  </si>
  <si>
    <t>Text shown as typed; HTML not rendered.</t>
  </si>
  <si>
    <t>Shown literally.</t>
  </si>
  <si>
    <t xml:space="preserve">Expected behaviour to confirm with Dev. (M2Q-30, parked)
Web: web app URL / login not available (UI notes #6).</t>
  </si>
  <si>
    <t>Empty or whitespace-only My Story</t>
  </si>
  <si>
    <t>Edge input.</t>
  </si>
  <si>
    <t>Clear My Story (or spaces only); Save.</t>
  </si>
  <si>
    <t>Whether Save is allowed; what B sees.</t>
  </si>
  <si>
    <t>Icebreaker answers are saved and shown to others</t>
  </si>
  <si>
    <t>Icebreaker answers are free text on the profile.</t>
  </si>
  <si>
    <t xml:space="preserve">1. A answers an icebreaker; Save.
 2. B opens A’s Discover card.</t>
  </si>
  <si>
    <t>Answer identical for A and B.</t>
  </si>
  <si>
    <t>Same text.</t>
  </si>
  <si>
    <t>Icebreaker answers not in Dev’s free-text list (M2Q-31).</t>
  </si>
  <si>
    <t>Chat message text is delivered exactly</t>
  </si>
  <si>
    <t>Chat content is encrypted free text.</t>
  </si>
  <si>
    <t xml:space="preserve">1. Needs an approved, matched synthetic pair (A male, B female; approval can take minutes).
 2. A sends "FT chat &lt;run&gt; नमस्ते 😀".
 3. B opens the chat.</t>
  </si>
  <si>
    <t xml:space="preserve">1. B sees identical text.
 2. Matches preview shows it.</t>
  </si>
  <si>
    <t>Identical text in chat and preview.</t>
  </si>
  <si>
    <t xml:space="preserve">Free-text encryption switches on testa2 unknown (M2Q-27, parked).
Web: web app URL / login not available (UI notes #6).</t>
  </si>
  <si>
    <t>Long and multi-line chat messages</t>
  </si>
  <si>
    <t>Encryption must not truncate.</t>
  </si>
  <si>
    <t>A sends a 1,000-character message and a 5-line message.</t>
  </si>
  <si>
    <t>B sees full text and line breaks.</t>
  </si>
  <si>
    <t>No truncation.</t>
  </si>
  <si>
    <t xml:space="preserve">Limits: M2Q-30 (parked). Expected behaviour to confirm with Dev.
Web: web app URL / login not available (UI notes #6).</t>
  </si>
  <si>
    <t>Reply / quoted message (previous_message)</t>
  </si>
  <si>
    <t>previous_message is encrypted separately.</t>
  </si>
  <si>
    <t>A long-presses B’s message → Reply (if present); send.</t>
  </si>
  <si>
    <t>Quoted text correct for A and B.</t>
  </si>
  <si>
    <t>Quote shows the original text.</t>
  </si>
  <si>
    <t xml:space="preserve">Reply / quote UI not found (UI notes #5).
Web: web app URL / login not available (UI notes #6).</t>
  </si>
  <si>
    <t>Chat started from a comment shows photo and comment</t>
  </si>
  <si>
    <t>Comment text becomes chat context.</t>
  </si>
  <si>
    <t xml:space="preserve">1. A comments on B’s photo; B accepts.
 2. Open the chat.</t>
  </si>
  <si>
    <t>Chat opens with the photo and A’s comment text.</t>
  </si>
  <si>
    <t>Photo + exact comment.</t>
  </si>
  <si>
    <t>Seen on prod (UI notes #5). Comment storage encryption: M2Q-31.</t>
  </si>
  <si>
    <t>Comment composer quotes the profile content</t>
  </si>
  <si>
    <t>Comment text is free text.</t>
  </si>
  <si>
    <t xml:space="preserve">1. A opens B’s My Story / icebreaker → comment.
 2. Type "FT comment &lt;run&gt;"; send.
 3. B opens Comments.</t>
  </si>
  <si>
    <t xml:space="preserve">1. Composer quotes B’s content.
 2. B sees A’s exact comment.</t>
  </si>
  <si>
    <t>Exact text.</t>
  </si>
  <si>
    <t>Chat history after relaunch and re-login</t>
  </si>
  <si>
    <t>Old and new messages must both read.</t>
  </si>
  <si>
    <t>Send several messages; force-stop; re-login; reopen chat.</t>
  </si>
  <si>
    <t>All messages in order, exact text.</t>
  </si>
  <si>
    <t>Full history.</t>
  </si>
  <si>
    <t xml:space="preserve">Legacy and encrypted messages can mix (M2Q-28, from code).
Web: web app URL / login not available (UI notes #6).</t>
  </si>
  <si>
    <t>Chat with a deleted account</t>
  </si>
  <si>
    <t>Deleted user’s messages and preview.</t>
  </si>
  <si>
    <t xml:space="preserve">1. B deletes the account (throwaway).
 2. A opens Matches and the chat.</t>
  </si>
  <si>
    <t xml:space="preserve">1. Preview "This account is deleted", tag DELETED.
 2. Old messages state.</t>
  </si>
  <si>
    <t>Preview "This account is deleted" with DELETED tag.</t>
  </si>
  <si>
    <t>Destructive: use a throwaway 10xxxxxxxx account. A deactivated number cannot be reused on testa2.</t>
  </si>
  <si>
    <t>P0 — App / Invites &amp; Likes</t>
  </si>
  <si>
    <t>Invite received shows the sender’s name</t>
  </si>
  <si>
    <t>Invite lists hydrate names.</t>
  </si>
  <si>
    <t xml:space="preserve">1. A sends an invite / request to B.
 2. B opens Matches / invites.</t>
  </si>
  <si>
    <t>Preview "Invite received from …" names A.</t>
  </si>
  <si>
    <t>Accepting a like creates a match with correct names</t>
  </si>
  <si>
    <t>Connection creation rebuilds caches.</t>
  </si>
  <si>
    <t xml:space="preserve">1. A likes B; B likes back.
 2. Both open Matches and chat.</t>
  </si>
  <si>
    <t>A sees B’s name; B sees A’s name.</t>
  </si>
  <si>
    <t>Correct names on both sides.</t>
  </si>
  <si>
    <t>Passing an invite / like removes it without exposing data</t>
  </si>
  <si>
    <t>pass_request rebuilds the profile.</t>
  </si>
  <si>
    <t xml:space="preserve">1. A likes B; B passes.
 2. A and B reopen lists.</t>
  </si>
  <si>
    <t>B: like gone. A: no contact details of B anywhere.</t>
  </si>
  <si>
    <t>Removed; no PII shown.</t>
  </si>
  <si>
    <t>P0 — App / Notifications</t>
  </si>
  <si>
    <t>Message push shows the sender’s name</t>
  </si>
  <si>
    <t>Push uses the sender’s selected first name.</t>
  </si>
  <si>
    <t xml:space="preserve">1. Needs an approved, matched synthetic pair (A male, B female; approval can take minutes).
 2. B in background; A sends "FT push &lt;run&gt;".
 3. View B’s push.</t>
  </si>
  <si>
    <t xml:space="preserve">1. Title / name = A’s first name.
 2. No email / phone.</t>
  </si>
  <si>
    <t>A’s first name; per code the body carries the message text.</t>
  </si>
  <si>
    <t>From code — confirm with Dev (Aisle develop_new 944f76a, app/models/chat/message.rb:347). See also "PII - FirstName Smoke" S/No 19.</t>
  </si>
  <si>
    <t>Invite / new-connection push</t>
  </si>
  <si>
    <t>Invitation and connection pushes pass the sender’s name.</t>
  </si>
  <si>
    <t xml:space="preserve">1. A sends an invite to B; then B accepts.
 2. View pushes on both devices.</t>
  </si>
  <si>
    <t xml:space="preserve">1. Name shown (if any) is the sender’s.
 2. No unresolved placeholder.</t>
  </si>
  <si>
    <t>Code passes the sender’s selected first name; the earlier smoke run saw only "New Match". Record content.</t>
  </si>
  <si>
    <t>From code — confirm with Dev (Aisle develop_new 944f76a, notifier/user_detail.rb:56; chat/request.rb:1183). See also "PII - FirstName Smoke" S/No 18.</t>
  </si>
  <si>
    <t>Push from a hidden-name sender is masked</t>
  </si>
  <si>
    <t>Push uses select_first_name (masked).</t>
  </si>
  <si>
    <t>Verified A with Hide ON sends B a message.</t>
  </si>
  <si>
    <t>B’s push shows only A’s initial.</t>
  </si>
  <si>
    <t>Initial only.</t>
  </si>
  <si>
    <t>From code — confirm with Dev (Aisle develop_new 944f76a, profile.rb:3125-3133). Needs a selfie-verified synthetic account (M2Q-32 open). See also "PII - FirstName Smoke" S/No 20.</t>
  </si>
  <si>
    <t>Push after the sender renamed</t>
  </si>
  <si>
    <t>No stale names in pushes.</t>
  </si>
  <si>
    <t>A renames; then sends B a message.</t>
  </si>
  <si>
    <t>B’s push shows the new name.</t>
  </si>
  <si>
    <t>New name.</t>
  </si>
  <si>
    <t>Tapping a push opens the right chat / profile</t>
  </si>
  <si>
    <t>Push must target the correct user.</t>
  </si>
  <si>
    <t>Tap each push received from A.</t>
  </si>
  <si>
    <t>Opens A’s chat / profile, not another user.</t>
  </si>
  <si>
    <t>Correct target.</t>
  </si>
  <si>
    <t>Like / comment received push</t>
  </si>
  <si>
    <t>Engagement pushes may name the sender.</t>
  </si>
  <si>
    <t xml:space="preserve">1. A likes B, then comments on B.
 2. View B’s pushes.</t>
  </si>
  <si>
    <t>Any name shown is A’s (or masked if hidden); no email / phone.</t>
  </si>
  <si>
    <t>Record content; never another user’s data.</t>
  </si>
  <si>
    <t>Push with a non-Latin name and emoji message</t>
  </si>
  <si>
    <t>Rendering.</t>
  </si>
  <si>
    <t>A ("देवा") sends "😀 नमस्ते".</t>
  </si>
  <si>
    <t>Push renders name and text.</t>
  </si>
  <si>
    <t>Readable push.</t>
  </si>
  <si>
    <t>P1 — Email / SMS</t>
  </si>
  <si>
    <t>Account-deleted email goes to the user with their name</t>
  </si>
  <si>
    <t>Deletion email uses the stored email and first name.</t>
  </si>
  <si>
    <t xml:space="preserve">1. Delete throwaway T (email on a capturable test inbox if Dev provides one).
 2. Check the captured email.</t>
  </si>
  <si>
    <t xml:space="preserve">1. Recipient = T’s email.
 2. Greeting = T’s first name.
 3. No other user’s data.</t>
  </si>
  <si>
    <t>Sent to T’s email with T’s first name (from code).</t>
  </si>
  <si>
    <t>From code — confirm with Dev (Aisle develop_new 944f76a, app/models/user.rb:665-676). Capture method for email / SMS / push on staging pending (M2Q-18). @example.test is non-deliverable. Destructive: use a throwaway 10xxxxxxxx account. A deactivated number cannot be reused on testa2.</t>
  </si>
  <si>
    <t>My Story misuse warning email</t>
  </si>
  <si>
    <t>CMS review warning emails the user.</t>
  </si>
  <si>
    <t xml:space="preserve">1. CMS: Reviews → warn the synthetic profile’s story.
 2. Check the captured email.</t>
  </si>
  <si>
    <t>Recipient and name are the profile’s.</t>
  </si>
  <si>
    <t>Sent to the profile’s email with its first name (from code).</t>
  </si>
  <si>
    <t>From code — confirm with Dev (Aisle develop_new 944f76a, app/models/spam_filter/user_review_mapping.rb:40-43). Capture method for email / SMS / push on staging pending (M2Q-18). CMS URL and admin test accounts pending (M2Q-04).</t>
  </si>
  <si>
    <t>Web purchase link SMS goes to the user’s full number</t>
  </si>
  <si>
    <t>SMS uses the stored phone with country code.</t>
  </si>
  <si>
    <t xml:space="preserve">1. Trigger the web purchase link flow (if exposed in the app).
 2. Check the captured SMS.</t>
  </si>
  <si>
    <t>Recipient = +91 + own number; content has no other user’s data.</t>
  </si>
  <si>
    <t>SMS to the user’s full number (Dev doc API-194).</t>
  </si>
  <si>
    <t>UI trigger unknown. Capture method for email / SMS / push on staging pending (M2Q-18).</t>
  </si>
  <si>
    <t>Unsubscribed user and emails / SMS</t>
  </si>
  <si>
    <t>Unsubscribe settings must be honoured.</t>
  </si>
  <si>
    <t xml:space="preserve">1. Unsubscribe Emails and SMS.
 2. Trigger an email / SMS event.</t>
  </si>
  <si>
    <t>Whether anything is sent.</t>
  </si>
  <si>
    <t>Record behaviour (transactional vs marketing).</t>
  </si>
  <si>
    <t>Expected behaviour to confirm with Dev. Capture method for email / SMS / push on staging pending (M2Q-18).</t>
  </si>
  <si>
    <t>P1 — App / Payments</t>
  </si>
  <si>
    <t>Payment gateway gets the user’s own name, email and phone</t>
  </si>
  <si>
    <t>Gateway customer details come from PII fields.</t>
  </si>
  <si>
    <t xml:space="preserve">1. A: Paywall → Continue → "Choose how to pay".
 2. Open Card / Net Banking / Wallet page; do not pay.</t>
  </si>
  <si>
    <t xml:space="preserve">1. Any prefilled name / email / phone is A’s.
 2. Nothing of another user.</t>
  </si>
  <si>
    <t>Cashfree customer name = first name, email = stored email, phone = stored number (from code).</t>
  </si>
  <si>
    <t xml:space="preserve">From code — confirm with Dev (Aisle develop_new 944f76a, app/models/payment/cashfree/api.rb:11-13, 181-183). Payment sandbox status pending (M2Q-17). Never complete a real payment.
Web: web app URL / login not available (UI notes #6).</t>
  </si>
  <si>
    <t>Gateway details after a name change</t>
  </si>
  <si>
    <t>No stale name to the gateway.</t>
  </si>
  <si>
    <t>A renames; open the payment page again.</t>
  </si>
  <si>
    <t>Prefilled name = new name.</t>
  </si>
  <si>
    <t xml:space="preserve">Read gates are OFF on testa2: the app shows the Aisle DB value (M2Q-02). Payment sandbox status pending (M2Q-17). Never complete a real payment.
Web: web app URL / login not available (UI notes #6).</t>
  </si>
  <si>
    <t>Gateway details with Hide First Name ON</t>
  </si>
  <si>
    <t>Gateway uses the unmasked name.</t>
  </si>
  <si>
    <t>Verified A hidden ON opens the payment page.</t>
  </si>
  <si>
    <t>Prefilled name.</t>
  </si>
  <si>
    <t>Full first name (get_first_name, not masked — from code).</t>
  </si>
  <si>
    <t xml:space="preserve">From code — confirm with Dev (Aisle develop_new 944f76a, payment/cashfree/api.rb:11). Needs a selfie-verified synthetic account (M2Q-32 open). Payment sandbox status pending (M2Q-17). Never complete a real payment.
Web: web app URL / login not available (UI notes #6).</t>
  </si>
  <si>
    <t>Boost purchase screen</t>
  </si>
  <si>
    <t>Boost uses the same gateway path.</t>
  </si>
  <si>
    <t>Open Boost purchase; go to payment options; stop.</t>
  </si>
  <si>
    <t>Own details only; no error.</t>
  </si>
  <si>
    <t>Own details only.</t>
  </si>
  <si>
    <t>Payment sandbox status pending (M2Q-17). Never complete a real payment.</t>
  </si>
  <si>
    <t>Buy Comments purchase screen</t>
  </si>
  <si>
    <t>Consumable purchase path.</t>
  </si>
  <si>
    <t>Open Buy Comments; go to payment options; stop.</t>
  </si>
  <si>
    <t>Subscription from the onboarding Premium sheet</t>
  </si>
  <si>
    <t>First paywall a user sees.</t>
  </si>
  <si>
    <t>New account: at the Premium sheet choose a plan → payment options; stop.</t>
  </si>
  <si>
    <t>Own details only; price shown.</t>
  </si>
  <si>
    <t xml:space="preserve">Pricing varies by day (UI notes #18). Payment sandbox status pending (M2Q-17). Never complete a real payment.
Web: web app URL / login not available (UI notes #6).</t>
  </si>
  <si>
    <t>PhonePe / UPI uses the user’s phone</t>
  </si>
  <si>
    <t>PhonePe subscription and UPI collect read the phone.</t>
  </si>
  <si>
    <t>If PhonePe / UPI is offered, open it; stop before paying.</t>
  </si>
  <si>
    <t>Prefilled phone = own number.</t>
  </si>
  <si>
    <t>Own number (Dev doc API-077/079/083).</t>
  </si>
  <si>
    <t xml:space="preserve">PhonePe availability on testa2 unknown. Payment sandbox status pending (M2Q-17). Never complete a real payment.
Web: web app URL / login not available (UI notes #6).</t>
  </si>
  <si>
    <t>Cancel payment and return to the app</t>
  </si>
  <si>
    <t>Profile must be intact after an abandoned payment.</t>
  </si>
  <si>
    <t>Open payment page; press back / cancel.</t>
  </si>
  <si>
    <t>Name, phone, plan unchanged.</t>
  </si>
  <si>
    <t>Manage Subscription and invoices / receipts</t>
  </si>
  <si>
    <t>Invoices could carry name / email / phone.</t>
  </si>
  <si>
    <t xml:space="preserve">1. Help Center → Manage Subscription.
 2. Look for invoice / receipt / order history.</t>
  </si>
  <si>
    <t>Only Restore Purchase shown; no invoice screen.</t>
  </si>
  <si>
    <t>No invoice / receipt screen in the app (UI notes #11).</t>
  </si>
  <si>
    <t>Whether gateways email receipts with name / email: Expected behaviour to confirm with Dev. (M2Q-17/18)</t>
  </si>
  <si>
    <t>Restore Purchase keeps PII</t>
  </si>
  <si>
    <t>Restore rebuilds the profile.</t>
  </si>
  <si>
    <t>Tap Restore Purchase.</t>
  </si>
  <si>
    <t>Name and phone unchanged; no other user’s data.</t>
  </si>
  <si>
    <t>P0 — App / Account</t>
  </si>
  <si>
    <t>Logout and login as another account shows only that account</t>
  </si>
  <si>
    <t>Account switch must clear cached PII.</t>
  </si>
  <si>
    <t xml:space="preserve">1. Log in as A; open Profile, Matches.
 2. Help Center → Logout.
 3. Log in as B; open Profile, Matches, Chat.</t>
  </si>
  <si>
    <t>Only B’s name, phone and matches.</t>
  </si>
  <si>
    <t>No data of A.</t>
  </si>
  <si>
    <t>See also "PII - FirstName Smoke" S/No 4.</t>
  </si>
  <si>
    <t>Logout lands on Welcome with no profile data</t>
  </si>
  <si>
    <t>Logout must clear the session.</t>
  </si>
  <si>
    <t xml:space="preserve">1. Logout.
 2. Reopen the app.</t>
  </si>
  <si>
    <t>Welcome screen; no name / phone shown.</t>
  </si>
  <si>
    <t>Logged out.</t>
  </si>
  <si>
    <t>Delete account flow</t>
  </si>
  <si>
    <t>Deletion is the DPDP erasure trigger.</t>
  </si>
  <si>
    <t xml:space="preserve">1. Throwaway T: Help Center → Delete.
 2. Pick a reason (7 options), optional feedback → Delete Permanently.
 3. "Your account will be permanently deleted…" → Delete Now.</t>
  </si>
  <si>
    <t xml:space="preserve">1. Lands on Welcome, logged out.
 2. No OTP or 30-day screen.</t>
  </si>
  <si>
    <t>Account deleted; Welcome screen.</t>
  </si>
  <si>
    <t xml:space="preserve">Destructive: use a throwaway 10xxxxxxxx account. A deactivated number cannot be reused on testa2.
Web: web app URL / login not available (UI notes #6).</t>
  </si>
  <si>
    <t>Cancel on the delete confirmation keeps the account</t>
  </si>
  <si>
    <t>No data loss on cancel.</t>
  </si>
  <si>
    <t>Delete flow → Cancel at the final dialog.</t>
  </si>
  <si>
    <t>Still logged in; name / phone unchanged.</t>
  </si>
  <si>
    <t>Account kept.</t>
  </si>
  <si>
    <t>Deleted user disappears from other users’ lists</t>
  </si>
  <si>
    <t>Deleted PII must not stay visible.</t>
  </si>
  <si>
    <t xml:space="preserve">1. Needs an approved, matched synthetic pair (A male, B female; approval can take minutes). B is a throwaway.
 2. B deletes the account.
 3. A checks Matches, Likes, Discover.</t>
  </si>
  <si>
    <t xml:space="preserve">1. Matches: "This account is deleted", tag DELETED.
 2. B not in Discover / Likes.</t>
  </si>
  <si>
    <t>B shown only as deleted.</t>
  </si>
  <si>
    <t>Whether B’s name still appears: Expected behaviour to confirm with Dev. Destructive: use a throwaway 10xxxxxxxx account. A deactivated number cannot be reused on testa2.</t>
  </si>
  <si>
    <t>Same number after delete starts a new account</t>
  </si>
  <si>
    <t>Old PII must not come back.</t>
  </si>
  <si>
    <t>Log in again with deleted T’s number, OTP 1234.</t>
  </si>
  <si>
    <t>Onboarding starts from the first step; no old name prefilled.</t>
  </si>
  <si>
    <t>New account at the first onboarding step.</t>
  </si>
  <si>
    <t>Observed via API: new login starts at general_information_stage_1. Creates a new user id.</t>
  </si>
  <si>
    <t>Delete from the photo-moderation block screen</t>
  </si>
  <si>
    <t>Alternative delete entry.</t>
  </si>
  <si>
    <t>Account blocked by photo moderation: menu → Delete Account.</t>
  </si>
  <si>
    <t>Same delete flow; ends on Welcome.</t>
  </si>
  <si>
    <t>Deleted.</t>
  </si>
  <si>
    <t>Menu has Logout + Delete Account only (UI notes #8). Destructive: use a throwaway 10xxxxxxxx account. A deactivated number cannot be reused on testa2.</t>
  </si>
  <si>
    <t>P1 — App / Account</t>
  </si>
  <si>
    <t>Deactivate account</t>
  </si>
  <si>
    <t>Deactivated profiles must be hidden.</t>
  </si>
  <si>
    <t xml:space="preserve">1. Approved throwaway T: Help Center → Deactivate; follow the flow.
 2. B searches T in Discover / Matches.</t>
  </si>
  <si>
    <t xml:space="preserve">1. T shows "Reactivate your account to use this tab." + Reactivate Now.
 2. B’s view of T.</t>
  </si>
  <si>
    <t>Deactivated state screen shown. Visibility to others: record.</t>
  </si>
  <si>
    <t xml:space="preserve">Deactivate flow screens not seen (UI notes #8). Expected behaviour to confirm with Dev. Destructive: use a throwaway 10xxxxxxxx account. A deactivated number cannot be reused on testa2.
Web: web app URL / login not available (UI notes #6).</t>
  </si>
  <si>
    <t>Reactivate a deactivated account</t>
  </si>
  <si>
    <t>Reactivation restores the profile.</t>
  </si>
  <si>
    <t>Deactivated T: tap Reactivate Now.</t>
  </si>
  <si>
    <t>Result; name / phone unchanged if it works.</t>
  </si>
  <si>
    <t>Record result. On testa2 activate_user returned 403 for a disabled profile.</t>
  </si>
  <si>
    <t xml:space="preserve">Known testa2 issue (UI notes #8). Destructive: use a throwaway 10xxxxxxxx account. A deactivated number cannot be reused on testa2.
Web: web app URL / login not available (UI notes #6).</t>
  </si>
  <si>
    <t>Reset profile</t>
  </si>
  <si>
    <t>reset_profile does not seed PII for the new user (M2Q-09).</t>
  </si>
  <si>
    <t>Look for a reset-profile option in the app.</t>
  </si>
  <si>
    <t>Option present?</t>
  </si>
  <si>
    <t>No in-app reset option (only Reset Preferences — UI notes #8).</t>
  </si>
  <si>
    <t>Reset only via API (M2Q-09 open).</t>
  </si>
  <si>
    <t>Delete older account</t>
  </si>
  <si>
    <t>API deletes another account by ref.</t>
  </si>
  <si>
    <t>Look for the "delete older account" flow.</t>
  </si>
  <si>
    <t>Flow present?</t>
  </si>
  <si>
    <t>Not run.</t>
  </si>
  <si>
    <t>Flow not seen (UI notes #8). Unsafe until M2Q-46 is fixed (missing ref acts on an arbitrary member).</t>
  </si>
  <si>
    <t>Paused profile screen</t>
  </si>
  <si>
    <t>Paused state shows own profile data.</t>
  </si>
  <si>
    <t>Open the paused profile screen.</t>
  </si>
  <si>
    <t>Own name only; no other user’s data.</t>
  </si>
  <si>
    <t>Own data only.</t>
  </si>
  <si>
    <t>P1 — App + CMS / Consistency</t>
  </si>
  <si>
    <t>Name agrees in app, CMS, Aisle DB and PII DB after onboarding</t>
  </si>
  <si>
    <t>Dual write must store one value.</t>
  </si>
  <si>
    <t xml:space="preserve">1. Onboard A as "QaCheck".
 2. Compare app header, CMS profile, profiles.first_name, PII NAME row exists.</t>
  </si>
  <si>
    <t xml:space="preserve">1. App = CMS = Aisle DB = "QaCheck".
 2. PII NAME row present (encrypted).</t>
  </si>
  <si>
    <t>Same value everywhere; PII row present.</t>
  </si>
  <si>
    <t>Read gates are OFF on testa2: the app shows the Aisle DB value (M2Q-02). CMS URL and admin test accounts pending (M2Q-04).</t>
  </si>
  <si>
    <t>Name agrees everywhere after an app edit</t>
  </si>
  <si>
    <t>Edit writes both DBs.</t>
  </si>
  <si>
    <t xml:space="preserve">1. A renames in app.
 2. Compare app, CMS, Aisle DB, PII NAME updated_at.</t>
  </si>
  <si>
    <t>All show the new name; PII row updated at edit time.</t>
  </si>
  <si>
    <t>Consistent.</t>
  </si>
  <si>
    <t>CMS URL and admin test accounts pending (M2Q-04). See also "PII - FirstName Smoke" S/No 25.</t>
  </si>
  <si>
    <t>Name agrees everywhere after a CMS edit</t>
  </si>
  <si>
    <t>Admin edit uses assign_first_name.</t>
  </si>
  <si>
    <t xml:space="preserve">1. Full admin renames A in CMS.
 2. A relaunches the app; B views A.</t>
  </si>
  <si>
    <t>App, B’s view, Aisle DB, PII NAME updated.</t>
  </si>
  <si>
    <t>New name everywhere.</t>
  </si>
  <si>
    <t>From code — confirm with Dev (Aisle develop_new 944f76a, admin_user.rb:99-112; profile.rb:3330-3335). CMS URL and admin test accounts pending (M2Q-04).</t>
  </si>
  <si>
    <t>Email agrees in CMS, Aisle DB and PII DB</t>
  </si>
  <si>
    <t>Email has no app display.</t>
  </si>
  <si>
    <t xml:space="preserve">1. Onboard with a known email.
 2. Compare CMS profile email, account_emails.name, PII EMAIL row.</t>
  </si>
  <si>
    <t>CMS = Aisle DB value; PII row present.</t>
  </si>
  <si>
    <t>CMS URL and admin test accounts pending (M2Q-04).</t>
  </si>
  <si>
    <t>Phone agrees in app, CMS, Aisle DB and PII DB</t>
  </si>
  <si>
    <t>Phone written at new-user login.</t>
  </si>
  <si>
    <t>Compare OTP number, About phone, CMS phone, sms_notification_phone_numbers.number, PII PHONE row.</t>
  </si>
  <si>
    <t>All the same number; PII row present.</t>
  </si>
  <si>
    <t>Android and iOS show the same data for one account</t>
  </si>
  <si>
    <t>Cross-platform consistency.</t>
  </si>
  <si>
    <t>Log in A on Android, note name / phone / matches; log in A on iOS.</t>
  </si>
  <si>
    <t>Same values.</t>
  </si>
  <si>
    <t>Identical.</t>
  </si>
  <si>
    <t>Rename on one device appears on the other</t>
  </si>
  <si>
    <t>Stale cache on a second session.</t>
  </si>
  <si>
    <t xml:space="preserve">1. A logged in on Android and iOS.
 2. Rename on Android; relaunch iOS.</t>
  </si>
  <si>
    <t>iOS shows the new name.</t>
  </si>
  <si>
    <t>New name on both after relaunch.</t>
  </si>
  <si>
    <t>Expected behaviour to confirm with Dev. (session handling across devices)</t>
  </si>
  <si>
    <t>P0 — CMS / Access</t>
  </si>
  <si>
    <t>CMS admin login with Google Authenticator OTP</t>
  </si>
  <si>
    <t>All CMS cases need an admin session.</t>
  </si>
  <si>
    <t xml:space="preserve">1. Open CMS; log in with the test admin email / password.
 2. Enter the authenticator OTP (QR on first login).</t>
  </si>
  <si>
    <t>Login succeeds; role / access level shown.</t>
  </si>
  <si>
    <t>Admin session opens after OTP.</t>
  </si>
  <si>
    <t>From code — confirm with Dev (Aisle develop_new 944f76a, app/models/admin_user.rb:26-44). CMS URL and admin test accounts pending (M2Q-04).</t>
  </si>
  <si>
    <t>What a full admin vs an associate admin can see</t>
  </si>
  <si>
    <t>Associate access is limited.</t>
  </si>
  <si>
    <t>Open the same synthetic profile as full admin, then as associate admin.</t>
  </si>
  <si>
    <t xml:space="preserve">1. Whether email / phone are shown or masked for each.
 2. Which actions are offered.</t>
  </si>
  <si>
    <t>Record per role.</t>
  </si>
  <si>
    <t>Expected behaviour to confirm with Dev. (M2Q-04, M2Q-14) CMS URL and admin test accounts pending (M2Q-04).</t>
  </si>
  <si>
    <t>P0 — CMS / Search</t>
  </si>
  <si>
    <t>Search by first name finds the profile</t>
  </si>
  <si>
    <t>Member search uses PII search for names.</t>
  </si>
  <si>
    <t>CMS member search: "QaCheck".</t>
  </si>
  <si>
    <t>A appears; opening it shows A.</t>
  </si>
  <si>
    <t>A found.</t>
  </si>
  <si>
    <t>Uses the PII service even with read gates off (Dev doc; M2Q-21). CMS URL and admin test accounts pending (M2Q-04). See also "PII - FirstName Smoke" S/No 22.</t>
  </si>
  <si>
    <t>Search by email finds the profile</t>
  </si>
  <si>
    <t>Email search uses PII search.</t>
  </si>
  <si>
    <t>Search by A’s exact email.</t>
  </si>
  <si>
    <t>Search by phone finds the profile</t>
  </si>
  <si>
    <t>Phone search uses the Aisle DB.</t>
  </si>
  <si>
    <t>Search by A’s 10-digit number.</t>
  </si>
  <si>
    <t>Search by ref finds the profile</t>
  </si>
  <si>
    <t>Ref is the non-PII key.</t>
  </si>
  <si>
    <t>Search by A’s REF ID (Help Center footer).</t>
  </si>
  <si>
    <t>Search after a rename</t>
  </si>
  <si>
    <t>Search must use the current name.</t>
  </si>
  <si>
    <t xml:space="preserve">1. A renames "QaOld" → "QaNew".
 2. Search both names.</t>
  </si>
  <si>
    <t>"QaNew" finds A; "QaOld" result.</t>
  </si>
  <si>
    <t>Current name finds A. Old name result: record.</t>
  </si>
  <si>
    <t>Expected behaviour to confirm with Dev. CMS URL and admin test accounts pending (M2Q-04).</t>
  </si>
  <si>
    <t>Search with different case, partial value, spaces</t>
  </si>
  <si>
    <t>Matching rules unknown.</t>
  </si>
  <si>
    <t>Search "qacheck", "QaChe", " QaCheck ", upper-case email.</t>
  </si>
  <si>
    <t>Which return A.</t>
  </si>
  <si>
    <t>Record matching rules.</t>
  </si>
  <si>
    <t>Exact / case-sensitive? M2Q-21. CMS URL and admin test accounts pending (M2Q-04).</t>
  </si>
  <si>
    <t>Search a shared first name / shared email</t>
  </si>
  <si>
    <t>Multiple matches must list all.</t>
  </si>
  <si>
    <t>Search "QaSame" (C and D) and the duplicate email (A and B).</t>
  </si>
  <si>
    <t>Both profiles listed; each opens correctly.</t>
  </si>
  <si>
    <t>All matches, no mix-up.</t>
  </si>
  <si>
    <t>Members search_profiles filter by first name</t>
  </si>
  <si>
    <t>Filters locally but shows the PII name.</t>
  </si>
  <si>
    <t>Members → search profiles; filter by first name.</t>
  </si>
  <si>
    <t>A listed with the correct name.</t>
  </si>
  <si>
    <t>Correct name.</t>
  </si>
  <si>
    <t>M2Q-21. CMS URL and admin test accounts pending (M2Q-04).</t>
  </si>
  <si>
    <t>P0 — CMS / Profile details</t>
  </si>
  <si>
    <t>Profile details show the right name, email and phone</t>
  </si>
  <si>
    <t>Admin profile view reads all three fields.</t>
  </si>
  <si>
    <t>Open A’s profile details in CMS.</t>
  </si>
  <si>
    <t>Name, email, phone = A’s values.</t>
  </si>
  <si>
    <t>Correct values.</t>
  </si>
  <si>
    <t>CMS URL and admin test accounts pending (M2Q-04). See also "PII - FirstName Smoke" S/No 23.</t>
  </si>
  <si>
    <t>Complete info lists connected users with right names</t>
  </si>
  <si>
    <t>Connected users are hydrated in batch.</t>
  </si>
  <si>
    <t>Open A’s complete info / connected profiles.</t>
  </si>
  <si>
    <t>B listed with B’s name.</t>
  </si>
  <si>
    <t>Correct names.</t>
  </si>
  <si>
    <t>Hidden-name profile in CMS</t>
  </si>
  <si>
    <t>Admins may need the full name.</t>
  </si>
  <si>
    <t>Open verified A with Hide ON in CMS.</t>
  </si>
  <si>
    <t>Full name or initial shown.</t>
  </si>
  <si>
    <t>Record.</t>
  </si>
  <si>
    <t>Expected behaviour to confirm with Dev. Needs a selfie-verified synthetic account (M2Q-32 open). CMS URL and admin test accounts pending (M2Q-04).</t>
  </si>
  <si>
    <t>Non-Latin and long names in CMS</t>
  </si>
  <si>
    <t>Open "देवा" and the 60-letter profile.</t>
  </si>
  <si>
    <t>Readable.</t>
  </si>
  <si>
    <t>P0 — CMS / Edit</t>
  </si>
  <si>
    <t>Full admin edits the first name</t>
  </si>
  <si>
    <t>Admin edit writes Aisle DB + PII DB.</t>
  </si>
  <si>
    <t xml:space="preserve">1. Full admin: edit A’s first name to "QaAdmin"; save.
 2. Reload profile; check DBs.</t>
  </si>
  <si>
    <t xml:space="preserve">1. CMS shows "QaAdmin".
 2. profiles.first_name and PII NAME updated.</t>
  </si>
  <si>
    <t>Name changed in CMS and both DBs.</t>
  </si>
  <si>
    <t>Associate admin cannot change the first name</t>
  </si>
  <si>
    <t>Associates are not allowed to edit names.</t>
  </si>
  <si>
    <t xml:space="preserve">1. Associate admin: edit A’s first name; save.
 2. Reload; check DBs.</t>
  </si>
  <si>
    <t>Name unchanged in CMS, Aisle DB, PII DB.</t>
  </si>
  <si>
    <t>Name unchanged (associate edits skip first name, gender, DOB).</t>
  </si>
  <si>
    <t>From code — confirm with Dev (Aisle develop_new 944f76a, admin_user.rb:105-112; profile.rb:3330-3335). CMS URL and admin test accounts pending (M2Q-04).</t>
  </si>
  <si>
    <t>Associate admin cannot change phone, story or icebreakers</t>
  </si>
  <si>
    <t>Same associate restriction.</t>
  </si>
  <si>
    <t>Associate admin: change phone, about, icebreakers; save.</t>
  </si>
  <si>
    <t>All unchanged.</t>
  </si>
  <si>
    <t>From code — confirm with Dev (Aisle develop_new 944f76a, admin_user.rb:107-112). CMS URL and admin test accounts pending (M2Q-04).</t>
  </si>
  <si>
    <t>Admin first name is normalised</t>
  </si>
  <si>
    <t>Same assign_first_name.</t>
  </si>
  <si>
    <t>Full admin sets "Qa-Admin 2".</t>
  </si>
  <si>
    <t>Saved value.</t>
  </si>
  <si>
    <t>"QaAdmin".</t>
  </si>
  <si>
    <t>From code — confirm with Dev (Aisle develop_new 944f76a, app/models/profile.rb:3137-3144, 6536-6540 — normalize_first_name). CMS URL and admin test accounts pending (M2Q-04).</t>
  </si>
  <si>
    <t>Admin blank first name is ignored</t>
  </si>
  <si>
    <t>Blank is never written.</t>
  </si>
  <si>
    <t>Full admin clears the first name; save.</t>
  </si>
  <si>
    <t>Name after save.</t>
  </si>
  <si>
    <t>Old name kept (from code); CMS message: record.</t>
  </si>
  <si>
    <t>From code — confirm with Dev (Aisle develop_new 944f76a, profile.rb:6536-6540). CMS URL and admin test accounts pending (M2Q-04).</t>
  </si>
  <si>
    <t>Full admin edits the phone number</t>
  </si>
  <si>
    <t>Admin phone edit updates only the Aisle DB (documented gap).</t>
  </si>
  <si>
    <t xml:space="preserve">1. Full admin: set A’s phone to an UNUSED 10xxxxxxxx number; save.
 2. Check app About, Aisle DB, PII PHONE.</t>
  </si>
  <si>
    <t xml:space="preserve">1. Aisle DB and app show the new number.
 2. PII PHONE row unchanged.</t>
  </si>
  <si>
    <t>Local number changes; PII PHONE is not resynced (Dev doc; M2Q-08 open).</t>
  </si>
  <si>
    <t>Caution (from code user.rb:444-458): if the new number belongs to another pending account, that account is deleted — use only an unused number. CMS URL and admin test accounts pending (M2Q-04).</t>
  </si>
  <si>
    <t>Admin phone edit to a number of an approved account</t>
  </si>
  <si>
    <t>Numbers must stay unique.</t>
  </si>
  <si>
    <t>Full admin sets A’s phone to approved B’s (synthetic) number.</t>
  </si>
  <si>
    <t>A and B unchanged.</t>
  </si>
  <si>
    <t>No change (from code the edit returns without updating).</t>
  </si>
  <si>
    <t>From code — confirm with Dev (Aisle develop_new 944f76a, app/models/user.rb:444-458). CMS URL and admin test accounts pending (M2Q-04).</t>
  </si>
  <si>
    <t>Approve-and-edit sets the edited name</t>
  </si>
  <si>
    <t>approve_and_edit uses the same admin path.</t>
  </si>
  <si>
    <t>Pending synthetic profile: approve with an edited first name.</t>
  </si>
  <si>
    <t>Approved; name updated in app and DBs.</t>
  </si>
  <si>
    <t>Approved with the new name.</t>
  </si>
  <si>
    <t>Full admin edits My Story and icebreakers</t>
  </si>
  <si>
    <t>Free text edited from CMS.</t>
  </si>
  <si>
    <t xml:space="preserve">1. Full admin changes A’s about and an icebreaker answer.
 2. B views A.</t>
  </si>
  <si>
    <t>New texts shown in the app.</t>
  </si>
  <si>
    <t>Updated texts.</t>
  </si>
  <si>
    <t>P1 — CMS / Moderation</t>
  </si>
  <si>
    <t>Curation and pending tabs show the right names</t>
  </si>
  <si>
    <t>Lists read first names.</t>
  </si>
  <si>
    <t>Open curation / VIP / pending tabs; find the synthetic profile.</t>
  </si>
  <si>
    <t>Name matches the profile.</t>
  </si>
  <si>
    <t>Image moderation lists show the right names</t>
  </si>
  <si>
    <t>Image tabs read names.</t>
  </si>
  <si>
    <t>Open image moderation lists for the synthetic profile.</t>
  </si>
  <si>
    <t>Story review shows name and story text</t>
  </si>
  <si>
    <t>Reviews read name and the decrypted story.</t>
  </si>
  <si>
    <t>Open Reviews for the synthetic profile.</t>
  </si>
  <si>
    <t>Name and story text = app values.</t>
  </si>
  <si>
    <t>Correct name and text.</t>
  </si>
  <si>
    <t>Mark selfie verified (for hide-name tests)</t>
  </si>
  <si>
    <t>Gives QA a verified account.</t>
  </si>
  <si>
    <t xml:space="preserve">1. Admin marks the synthetic profile selfie-verified.
 2. App: Hide First Name enabled?</t>
  </si>
  <si>
    <t>Toggle becomes usable.</t>
  </si>
  <si>
    <t>Whether QA may use this: M2Q-32. CMS URL and admin test accounts pending (M2Q-04).</t>
  </si>
  <si>
    <t>Ban / disapprove keeps PII values</t>
  </si>
  <si>
    <t>State changes must not alter PII.</t>
  </si>
  <si>
    <t xml:space="preserve">1. Ban or disapprove a throwaway profile.
 2. Check CMS, Aisle DB, PII DB.</t>
  </si>
  <si>
    <t>Name, email, phone unchanged.</t>
  </si>
  <si>
    <t>Destructive: use a throwaway 10xxxxxxxx account. A deactivated number cannot be reused on testa2. CMS URL and admin test accounts pending (M2Q-04).</t>
  </si>
  <si>
    <t>Autofeed approve / reject keeps the name</t>
  </si>
  <si>
    <t>autofeed_update calls assign_first_name.</t>
  </si>
  <si>
    <t>Approve the synthetic profile via autofeed.</t>
  </si>
  <si>
    <t>Name unchanged.</t>
  </si>
  <si>
    <t>P1 — CMS / Activity &amp; Chat</t>
  </si>
  <si>
    <t>User activity shows correct names</t>
  </si>
  <si>
    <t>Activity lists reference other users.</t>
  </si>
  <si>
    <t>Open A’s activity (likes, passes, blocks).</t>
  </si>
  <si>
    <t>From / to names correct, not swapped.</t>
  </si>
  <si>
    <t>Correct.</t>
  </si>
  <si>
    <t>CMS URL and admin test accounts pending (M2Q-04). See also "PII - FirstName Smoke" S/No 16.</t>
  </si>
  <si>
    <t>CMS chat view shows names and exact message text</t>
  </si>
  <si>
    <t>Chat review decrypts free text.</t>
  </si>
  <si>
    <t>Open A–B conversation in CMS.</t>
  </si>
  <si>
    <t xml:space="preserve">1. Sender names correct.
 2. Text identical to the app.</t>
  </si>
  <si>
    <t>Correct names and text.</t>
  </si>
  <si>
    <t>Free-text encryption switches on testa2 unknown (M2Q-27, parked). CMS URL and admin test accounts pending (M2Q-04). See also "PII - FirstName Smoke" S/No 15.</t>
  </si>
  <si>
    <t>Love Stories in CMS</t>
  </si>
  <si>
    <t>Stories list name, email, phone.</t>
  </si>
  <si>
    <t>Open CMS stories.</t>
  </si>
  <si>
    <t>Shown data matches the submitter; access per role.</t>
  </si>
  <si>
    <t>Correct data.</t>
  </si>
  <si>
    <t>Reports list names</t>
  </si>
  <si>
    <t>Reports read names.</t>
  </si>
  <si>
    <t>Open Reports for a synthetic report.</t>
  </si>
  <si>
    <t>Names correct.</t>
  </si>
  <si>
    <t>QA must not file reports (M2Q-45).</t>
  </si>
  <si>
    <t>P1 — CMS / Export</t>
  </si>
  <si>
    <t>Download profile details export</t>
  </si>
  <si>
    <t>Export holds name, email, phone.</t>
  </si>
  <si>
    <t>Full admin: download A’s profile details.</t>
  </si>
  <si>
    <t>Values = A’s; only A’s data.</t>
  </si>
  <si>
    <t>Correct data in the export.</t>
  </si>
  <si>
    <t>Required role: M2Q-04. CMS URL and admin test accounts pending (M2Q-04).</t>
  </si>
  <si>
    <t>Associate admin and the export</t>
  </si>
  <si>
    <t>Export is sensitive.</t>
  </si>
  <si>
    <t>Associate admin tries the same export.</t>
  </si>
  <si>
    <t>Allowed or denied.</t>
  </si>
  <si>
    <t>Expected behaviour to confirm with Dev. (M2Q-04) CMS URL and admin test accounts pending (M2Q-04).</t>
  </si>
  <si>
    <t>ActiveAdmin IRL page</t>
  </si>
  <si>
    <t>Shows name, email, phone.</t>
  </si>
  <si>
    <t>Open the IRL page with an admin session.</t>
  </si>
  <si>
    <t>Values correct; access restricted.</t>
  </si>
  <si>
    <t>P0 — DB / PII DB</t>
  </si>
  <si>
    <t>Onboarding creates one encrypted NAME row</t>
  </si>
  <si>
    <t>Proves the first-name write reaches the PII DB.</t>
  </si>
  <si>
    <t xml:space="preserve">1. Onboard A.
 2. Find A’s user id: CMS profile details or Aisle DB (users.phone_number_id → sms_notification_phone_numbers.number = A’s number).
 3. PII DB (read-only): SELECT tenant_id, user_id, field_name, key_version, length(nonce), length(auth_tag), lookup_token IS NOT NULL, created_at, updated_at FROM user_pii_field_value WHERE tenant_id='aisle' AND user_id='&lt;A id&gt;' AND field_name='NAME'.</t>
  </si>
  <si>
    <t xml:space="preserve">1. Exactly one row.
 2. tenant_id "aisle", user_id = A’s id.
 3. ciphertext present.</t>
  </si>
  <si>
    <t>One encrypted NAME row for A.</t>
  </si>
  <si>
    <t>User id mapping from code (M2Q-37). See also "PII - FirstName Smoke" S/No 31.</t>
  </si>
  <si>
    <t>Onboarding creates one encrypted EMAIL row</t>
  </si>
  <si>
    <t>Email write path.</t>
  </si>
  <si>
    <t xml:space="preserve">1. Find A’s user id: CMS profile details or Aisle DB (users.phone_number_id → sms_notification_phone_numbers.number = A’s number).
 2. PII DB (read-only): SELECT tenant_id, user_id, field_name, key_version, length(nonce), length(auth_tag), lookup_token IS NOT NULL, created_at, updated_at FROM user_pii_field_value WHERE tenant_id='aisle' AND user_id='&lt;A id&gt;' AND field_name='EMAIL'.</t>
  </si>
  <si>
    <t>Exactly one row; right tenant / user; ciphertext present.</t>
  </si>
  <si>
    <t>One encrypted EMAIL row.</t>
  </si>
  <si>
    <t>New-user phone login creates one encrypted PHONE row</t>
  </si>
  <si>
    <t>Phone is written at first login.</t>
  </si>
  <si>
    <t xml:space="preserve">1. Log in a new number (before onboarding).
 2. Find A’s user id: CMS profile details or Aisle DB (users.phone_number_id → sms_notification_phone_numbers.number = A’s number).
 3. PII DB (read-only): SELECT tenant_id, user_id, field_name, key_version, length(nonce), length(auth_tag), lookup_token IS NOT NULL, created_at, updated_at FROM user_pii_field_value WHERE tenant_id='aisle' AND user_id='&lt;A id&gt;' AND field_name='PHONE'.</t>
  </si>
  <si>
    <t>Exactly one row; right tenant / user.</t>
  </si>
  <si>
    <t>One encrypted PHONE row.</t>
  </si>
  <si>
    <t>One row per field — three rows per onboarded user</t>
  </si>
  <si>
    <t>No duplicates.</t>
  </si>
  <si>
    <t>SELECT field_name, count(*) FROM user_pii_field_value WHERE tenant_id='aisle' AND user_id='&lt;A id&gt;' GROUP BY field_name.</t>
  </si>
  <si>
    <t>NAME, EMAIL, PHONE each 1.</t>
  </si>
  <si>
    <t>Three rows, one per field.</t>
  </si>
  <si>
    <t>Stored values are not plaintext</t>
  </si>
  <si>
    <t>Encryption at rest.</t>
  </si>
  <si>
    <t>For A’s rows, compare ciphertext with the UTF-8 bytes of the known name, email, number (in SQL: position(convert_to('&lt;value&gt;','UTF8') in ciphertext)).</t>
  </si>
  <si>
    <t>No plaintext found.</t>
  </si>
  <si>
    <t>Ciphertext never contains the value.</t>
  </si>
  <si>
    <t>Never decrypt or print values.</t>
  </si>
  <si>
    <t>Nonce and auth tag sizes</t>
  </si>
  <si>
    <t>AES-256-GCM format (M1 design).</t>
  </si>
  <si>
    <t>Read length(nonce), length(auth_tag) for A’s rows.</t>
  </si>
  <si>
    <t>nonce 12 bytes; auth_tag 16 bytes.</t>
  </si>
  <si>
    <t>12 / 16 bytes.</t>
  </si>
  <si>
    <t>Rows use the ACTIVE key version</t>
  </si>
  <si>
    <t>Key version must decrypt later.</t>
  </si>
  <si>
    <t xml:space="preserve">1. SELECT key_version, status FROM pii_key_registry.
 2. Compare with A’s rows.</t>
  </si>
  <si>
    <t>A’s key_version = the ACTIVE key.</t>
  </si>
  <si>
    <t>ACTIVE key version.</t>
  </si>
  <si>
    <t>Search token on EMAIL and PHONE only</t>
  </si>
  <si>
    <t>Email and phone are searchable; names are not (M1 design).</t>
  </si>
  <si>
    <t>Read lookup_token IS NOT NULL for A’s rows.</t>
  </si>
  <si>
    <t>EMAIL, PHONE: present. NAME: empty.</t>
  </si>
  <si>
    <t>Per M1 design; CMS name search works anyway (M2Q-21).</t>
  </si>
  <si>
    <t>Same name for two users gives different ciphertext</t>
  </si>
  <si>
    <t>Random nonce per write.</t>
  </si>
  <si>
    <t>C and D both "QaSame"; read their NAME rows.</t>
  </si>
  <si>
    <t>Different user_id, nonce and ciphertext.</t>
  </si>
  <si>
    <t>Different ciphertext.</t>
  </si>
  <si>
    <t>Duplicate email: one EMAIL row per user</t>
  </si>
  <si>
    <t>Isolation.</t>
  </si>
  <si>
    <t>A and B with the same email; read both EMAIL rows.</t>
  </si>
  <si>
    <t>Two rows, own user_id each; compare lookup_token.</t>
  </si>
  <si>
    <t>Two rows. Same lookup_token expected for same value (M1 design).</t>
  </si>
  <si>
    <t>App name edit updates the same NAME row</t>
  </si>
  <si>
    <t>Replace semantics.</t>
  </si>
  <si>
    <t xml:space="preserve">1. Snapshot A’s NAME row (ciphertext hash, created_at, updated_at).
 2. Edit name in app.
 3. Snapshot again.</t>
  </si>
  <si>
    <t>Still one row; ciphertext changed; updated_at new; created_at same.</t>
  </si>
  <si>
    <t>Row replaced in place.</t>
  </si>
  <si>
    <t>Saving the same name leaves the NAME row untouched</t>
  </si>
  <si>
    <t>No write when unchanged.</t>
  </si>
  <si>
    <t>Snapshot; save the same name; snapshot.</t>
  </si>
  <si>
    <t>updated_at and ciphertext unchanged.</t>
  </si>
  <si>
    <t>From code — confirm with Dev (Aisle develop_new 944f76a, profile.rb:3490).</t>
  </si>
  <si>
    <t>Blank name edit leaves the NAME row untouched</t>
  </si>
  <si>
    <t>Blank is ignored.</t>
  </si>
  <si>
    <t>Snapshot; try a blank name edit; snapshot.</t>
  </si>
  <si>
    <t>Other profile edits do not touch PII rows</t>
  </si>
  <si>
    <t>No unintended overwrite.</t>
  </si>
  <si>
    <t>Snapshot all 3 rows; edit height, My Story, photos; snapshot.</t>
  </si>
  <si>
    <t>All 3 rows unchanged.</t>
  </si>
  <si>
    <t>Returning login does not rewrite PHONE</t>
  </si>
  <si>
    <t>Only new-user login writes phone.</t>
  </si>
  <si>
    <t>Snapshot PHONE; log out / in; snapshot.</t>
  </si>
  <si>
    <t>Unchanged (Dev doc).</t>
  </si>
  <si>
    <t>Abandoned login (no OTP) creates no PHONE row</t>
  </si>
  <si>
    <t>No PII before verification.</t>
  </si>
  <si>
    <t xml:space="preserve">1. Request OTP for a new number; stop.
 2. Look for a user / PHONE row.</t>
  </si>
  <si>
    <t>No PHONE row.</t>
  </si>
  <si>
    <t>Record; none expected before OTP verification.</t>
  </si>
  <si>
    <t>Full admin edit updates NAME; associate edit does not</t>
  </si>
  <si>
    <t>Admin write paths.</t>
  </si>
  <si>
    <t>Snapshot NAME; full admin edit; snapshot; associate edit; snapshot.</t>
  </si>
  <si>
    <t>Changed after full admin; unchanged after associate.</t>
  </si>
  <si>
    <t>As described.</t>
  </si>
  <si>
    <t>From code — confirm with Dev (Aisle develop_new 944f76a, admin_user.rb:105-112). CMS URL and admin test accounts pending (M2Q-04).</t>
  </si>
  <si>
    <t>Admin phone edit leaves PHONE row unchanged</t>
  </si>
  <si>
    <t>Documented resync gap.</t>
  </si>
  <si>
    <t>Snapshot PHONE + local number; admin phone edit; snapshot.</t>
  </si>
  <si>
    <t>Local changed; PII PHONE unchanged.</t>
  </si>
  <si>
    <t>Gap per Dev doc (M2Q-08 open).</t>
  </si>
  <si>
    <t>Hide First Name does not change the NAME row</t>
  </si>
  <si>
    <t>Masking is a display flag.</t>
  </si>
  <si>
    <t>Snapshot NAME; toggle hide; snapshot.</t>
  </si>
  <si>
    <t>PII rows after account delete</t>
  </si>
  <si>
    <t>DPDP erasure.</t>
  </si>
  <si>
    <t xml:space="preserve">1. Delete throwaway T.
 2. Read T’s rows.</t>
  </si>
  <si>
    <t>Rows present / removed / changed.</t>
  </si>
  <si>
    <t>Record. M2 design notes code does not erase them.</t>
  </si>
  <si>
    <t>Expected behaviour to confirm with Dev. (M2Q-15) Destructive: use a throwaway 10xxxxxxxx account. A deactivated number cannot be reused on testa2.</t>
  </si>
  <si>
    <t>Same number after delete: rows for the new user id</t>
  </si>
  <si>
    <t>Old and new accounts must not share rows.</t>
  </si>
  <si>
    <t xml:space="preserve">1. Re-login and onboard deleted T’s number.
 2. Read rows for old and new user ids.</t>
  </si>
  <si>
    <t>New id has its own rows; old id rows unchanged.</t>
  </si>
  <si>
    <t>Separate rows per user id.</t>
  </si>
  <si>
    <t>Expected behaviour to confirm with Dev. (M2Q-15)</t>
  </si>
  <si>
    <t>Deactivate does not change PII rows</t>
  </si>
  <si>
    <t>State change only.</t>
  </si>
  <si>
    <t>Snapshot T; deactivate; snapshot.</t>
  </si>
  <si>
    <t>Record; no change expected.</t>
  </si>
  <si>
    <t>Expected behaviour to confirm with Dev. Destructive: use a throwaway 10xxxxxxxx account. A deactivated number cannot be reused on testa2.</t>
  </si>
  <si>
    <t>P0 — DB / Aisle DB</t>
  </si>
  <si>
    <t>Legacy first name column holds the saved name</t>
  </si>
  <si>
    <t>App reads this column today.</t>
  </si>
  <si>
    <t>Aisle DB (read-only): SELECT first_name FROM profiles WHERE user_id=&lt;A id&gt;.</t>
  </si>
  <si>
    <t>Equals the app name.</t>
  </si>
  <si>
    <t>Normalised name in plaintext (legacy column).</t>
  </si>
  <si>
    <t>Read gates are OFF on testa2: the app shows the Aisle DB value (M2Q-02).</t>
  </si>
  <si>
    <t>Legacy email row holds the onboarding email</t>
  </si>
  <si>
    <t>Email is stored in account_emails.</t>
  </si>
  <si>
    <t>SELECT e.name FROM profiles p JOIN account_emails e ON e.id=p.email_id WHERE p.user_id=&lt;A id&gt;.</t>
  </si>
  <si>
    <t>Equals the entered email (trimmed).</t>
  </si>
  <si>
    <t>Onboarding email.</t>
  </si>
  <si>
    <t>Legacy phone row holds the login number</t>
  </si>
  <si>
    <t>Phone is stored in sms_notification_phone_numbers.</t>
  </si>
  <si>
    <t>SELECT n.number FROM users u JOIN sms_notification_phone_numbers n ON n.id=u.phone_number_id WHERE u.id=&lt;A id&gt;.</t>
  </si>
  <si>
    <t>Equals the login number.</t>
  </si>
  <si>
    <t>Login number.</t>
  </si>
  <si>
    <t>Legacy name updated by app edit</t>
  </si>
  <si>
    <t>Dual write.</t>
  </si>
  <si>
    <t>Edit name in app; re-read profiles.first_name.</t>
  </si>
  <si>
    <t>New normalised name.</t>
  </si>
  <si>
    <t>Updated.</t>
  </si>
  <si>
    <t>Duplicate email shares one account_emails row</t>
  </si>
  <si>
    <t>Email table is a lookup.</t>
  </si>
  <si>
    <t>A and B with the same email: compare profiles.email_id.</t>
  </si>
  <si>
    <t>Same email_id.</t>
  </si>
  <si>
    <t>Shared row (from code).</t>
  </si>
  <si>
    <t>From code — confirm with Dev (Aisle develop_new 944f76a, account/email.rb:9-18).</t>
  </si>
  <si>
    <t>Invalid onboarding email stored value</t>
  </si>
  <si>
    <t>Server-side email validation.</t>
  </si>
  <si>
    <t>After the invalid-email case, read A’s account_emails.name.</t>
  </si>
  <si>
    <t>Stored value.</t>
  </si>
  <si>
    <t>"abc@gmail.com" (from code).</t>
  </si>
  <si>
    <t>From code — confirm with Dev (Aisle develop_new 944f76a, user.rb:784-790; constants.rb:34).</t>
  </si>
  <si>
    <t>Associate admin edit leaves the legacy name</t>
  </si>
  <si>
    <t>Associate restriction at storage level.</t>
  </si>
  <si>
    <t>Read profiles.first_name before / after associate edit.</t>
  </si>
  <si>
    <t>Legacy phone after an admin phone edit</t>
  </si>
  <si>
    <t>Admin edit changes users.phone_number_id.</t>
  </si>
  <si>
    <t>Read users.phone_number_id and the joined number before / after the admin phone edit.</t>
  </si>
  <si>
    <t>Points to the new number.</t>
  </si>
  <si>
    <t>New number linked (from code).</t>
  </si>
  <si>
    <t>Legacy data after account delete</t>
  </si>
  <si>
    <t>Deletion marks rows; PII columns may remain.</t>
  </si>
  <si>
    <t>After deleting T: read profiles (deleted, first_name), users (deleted, uid).</t>
  </si>
  <si>
    <t>deleted timestamps set; uid suffixed; first_name state.</t>
  </si>
  <si>
    <t>From code: profile and user marked deleted, uid gets a time suffix. Name retention: record.</t>
  </si>
  <si>
    <t>From code — confirm with Dev (Aisle develop_new 944f76a, user.rb:461-470; profile.rb:4032-4047). Expected behaviour to confirm with Dev. (M2Q-15)</t>
  </si>
  <si>
    <t>P1 — DB / Free text</t>
  </si>
  <si>
    <t>Chat message stored encrypted</t>
  </si>
  <si>
    <t>Free text at rest.</t>
  </si>
  <si>
    <t>After the chat case: read A’s message row (encrypted_free_text_content, encrypted_free_text_previous_message).</t>
  </si>
  <si>
    <t>Encrypted columns filled; plaintext column state.</t>
  </si>
  <si>
    <t>Encrypted columns filled; plaintext column still written (possible defect, from code).</t>
  </si>
  <si>
    <t>From code — confirm with Dev (Aisle develop_new 944f76a, app/models/chat/message.rb:351-393). Free-text encryption switches on testa2 unknown (M2Q-27, parked).</t>
  </si>
  <si>
    <t>Conversation last-message preview stored encrypted</t>
  </si>
  <si>
    <t>Preview is free text.</t>
  </si>
  <si>
    <t>Read the conversation row’s encrypted_free_text_last_message.</t>
  </si>
  <si>
    <t>Filled; plaintext state.</t>
  </si>
  <si>
    <t>Encrypted preview filled (from code).</t>
  </si>
  <si>
    <t>From code — confirm with Dev (Aisle develop_new 944f76a, chat/conversation.rb:1062-1080). Free-text encryption switches on testa2 unknown (M2Q-27, parked).</t>
  </si>
  <si>
    <t>My Story stored encrypted</t>
  </si>
  <si>
    <t>Story at rest.</t>
  </si>
  <si>
    <t>Read A’s story row (encrypted_free_text_about).</t>
  </si>
  <si>
    <t>Filled; plaintext about column state.</t>
  </si>
  <si>
    <t>Encrypted filled; plaintext still written (possible defect, from code).</t>
  </si>
  <si>
    <t>From code — confirm with Dev (Aisle develop_new 944f76a, account/story.rb:103-125). Free-text encryption switches on testa2 unknown (M2Q-27, parked).</t>
  </si>
  <si>
    <t>Editing My Story replaces the encrypted value</t>
  </si>
  <si>
    <t>One current story value.</t>
  </si>
  <si>
    <t xml:space="preserve">1. Snapshot A’s story row (hash of encrypted_free_text_about).
 2. Edit My Story.
 3. Snapshot.</t>
  </si>
  <si>
    <t>Same row; encrypted value changed; no second current row.</t>
  </si>
  <si>
    <t>Replaced in place.</t>
  </si>
  <si>
    <t>Free-text encryption switches on testa2 unknown (M2Q-27, parked). Expected behaviour to confirm with Dev.</t>
  </si>
  <si>
    <t>Identical chat messages give different ciphertext</t>
  </si>
  <si>
    <t>No deterministic encryption of free text.</t>
  </si>
  <si>
    <t xml:space="preserve">1. A sends "same text &lt;run&gt;" twice.
 2. Compare both rows’ encrypted content (hash).</t>
  </si>
  <si>
    <t>Hashes differ.</t>
  </si>
  <si>
    <t>Free-text key in the PII DB</t>
  </si>
  <si>
    <t>Keys are per context.</t>
  </si>
  <si>
    <t>SELECT status, tenant_id, created_at, revoked_at FROM free_text_encryption_key (read-only).</t>
  </si>
  <si>
    <t>ACTIVE key for tenant "aisle"; no key material printed.</t>
  </si>
  <si>
    <t>One active key per context (from code).</t>
  </si>
  <si>
    <t>From code — confirm with Dev (Aisle develop_new 944f76a, pii/key_manager.rb:15-38). Free-text encryption switches on testa2 unknown (M2Q-27, parked).</t>
  </si>
  <si>
    <t>Comment and icebreaker storage</t>
  </si>
  <si>
    <t>Not in Dev’s free-text list.</t>
  </si>
  <si>
    <t>Read storage of A’s comment and icebreaker answer.</t>
  </si>
  <si>
    <t>Plaintext or encrypted.</t>
  </si>
  <si>
    <t>Expected behaviour to confirm with Dev. (M2Q-31)</t>
  </si>
  <si>
    <t>P2 — DB / Mongo audit</t>
  </si>
  <si>
    <t>Audit entries for PII writes</t>
  </si>
  <si>
    <t>Every PII write is audited without values.</t>
  </si>
  <si>
    <t xml:space="preserve">1. Onboard / edit A.
 2. Read audit_trails for A.</t>
  </si>
  <si>
    <t>One entry per write; caller, user, field, time; no values.</t>
  </si>
  <si>
    <t>Per audit design (M1 BQ-30).</t>
  </si>
  <si>
    <t>Mongo access pending (M2Q-34).</t>
  </si>
  <si>
    <t>Audit entries for CMS searches</t>
  </si>
  <si>
    <t>Searches hit the PII service.</t>
  </si>
  <si>
    <t xml:space="preserve">1. Run CMS name / email search.
 2. Read audit_trails.</t>
  </si>
  <si>
    <t>Entry per search; no values.</t>
  </si>
  <si>
    <t>Per audit design.</t>
  </si>
  <si>
    <t>Mongo access pending (M2Q-34). CMS URL and admin test accounts pending (M2Q-04).</t>
  </si>
  <si>
    <t>Onboarding data log in Mongo</t>
  </si>
  <si>
    <t>submit_profile logs onboarding data to Mongo.</t>
  </si>
  <si>
    <t>Read the onboarding log entry for A.</t>
  </si>
  <si>
    <t>Whether first name / email appear in plaintext.</t>
  </si>
  <si>
    <t>Record; possible DPDP gap if plaintext.</t>
  </si>
  <si>
    <t>From code — confirm with Dev (Aisle develop_new 944f76a, app/models/user.rb:478 MongoLog::Onboarding.log_onboarding_data). Mongo access pending (M2Q-34).</t>
  </si>
  <si>
    <t>Audit retention</t>
  </si>
  <si>
    <t>Entries are kept for 7 days (design).</t>
  </si>
  <si>
    <t>Check TTL index on audit_trails.</t>
  </si>
  <si>
    <t>TTL value.</t>
  </si>
  <si>
    <t>7 days (M1 design).</t>
  </si>
  <si>
    <t>Mongo access pending (M2Q-34). Expected behaviour to confirm with Dev.</t>
  </si>
  <si>
    <t>P2 — Out of scope today</t>
  </si>
  <si>
    <t>Transient phone numbers</t>
  </si>
  <si>
    <t>Feature on hold.</t>
  </si>
  <si>
    <t>—</t>
  </si>
  <si>
    <t>Not tested.</t>
  </si>
  <si>
    <t>Transient phone feature is ON HOLD.</t>
  </si>
  <si>
    <t>Reads from the PII service (read gates ON)</t>
  </si>
  <si>
    <t>Gates are OFF today.</t>
  </si>
  <si>
    <t>Waiting for Dev (M2Q-43). Cohort rollout out of scope.</t>
  </si>
  <si>
    <t>Not-yet-migrated profiles</t>
  </si>
  <si>
    <t>All staging profiles are migrated.</t>
  </si>
  <si>
    <t>QA lead: all staging profiles migrated (M2Q-05).</t>
  </si>
  <si>
    <t>Summary — PII M2 Cases (counts update live as the result columns are filled)</t>
  </si>
  <si>
    <t>Cases</t>
  </si>
  <si>
    <t>Total</t>
  </si>
  <si>
    <t>Platform / status</t>
  </si>
  <si>
    <t>Android</t>
  </si>
  <si>
    <t>iOS</t>
  </si>
  <si>
    <t>Web</t>
  </si>
  <si>
    <t>CMS</t>
  </si>
  <si>
    <t>DB</t>
  </si>
  <si>
    <t>Applicable cases (not "Not Required")</t>
  </si>
  <si>
    <t>Pass</t>
  </si>
  <si>
    <t>Fail</t>
  </si>
  <si>
    <t>Total rows</t>
  </si>
  <si>
    <t>Pass % of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</si>
</sst>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00000"/>
      <name val="Arial"/>
    </font>
    <font>
      <color theme="1"/>
      <name val="Arial"/>
    </font>
    <font>
      <b/>
      <color rgb="FFFFFFFF"/>
      <sz val="11"/>
      <name val="Calibri"/>
    </font>
    <font>
      <b/>
      <color rgb="FF17365D"/>
      <sz val="11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2F75B5"/>
        <bgColor rgb="FF2F75B5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E2F0D9"/>
        <bgColor rgb="FFE2F0D9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0"/>
  <sheetViews>
    <sheetView workbookViewId="0">
      <pane ySplit="2" topLeftCell="A3" activePane="bottomLeft" state="frozen"/>
      <selection pane="bottomLeft" activeCell="A3" sqref="A3"/>
    </sheetView>
  </sheetViews>
  <sheetFormatPr defaultRowHeight="15.75" outlineLevelRow="0" outlineLevelCol="0" x14ac:dyDescent="55" customHeight="1"/>
  <cols>
    <col min="1" max="1" width="11.38" customWidth="1"/>
    <col min="2" max="2" width="14.75" customWidth="1"/>
    <col min="3" max="3" width="40.63" customWidth="1"/>
    <col min="4" max="4" width="36.25" customWidth="1"/>
    <col min="5" max="5" width="41.5" customWidth="1"/>
    <col min="6" max="6" width="36.88" customWidth="1"/>
    <col min="7" max="7" width="34.5" customWidth="1"/>
    <col min="8" max="8" width="17.13" customWidth="1"/>
    <col min="9" max="12" width="16.5" customWidth="1"/>
    <col min="13" max="13" width="13" customWidth="1"/>
    <col min="14" max="14" width="43.63" customWidth="1"/>
  </cols>
  <sheetData>
    <row r="1" spans="1:14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5">
      <c r="A3" s="4">
        <v>1</v>
      </c>
      <c r="B3" s="4" t="s">
        <v>15</v>
      </c>
      <c r="C3" s="5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7" t="s">
        <v>21</v>
      </c>
      <c r="I3" s="7" t="s">
        <v>21</v>
      </c>
      <c r="J3" s="7" t="s">
        <v>22</v>
      </c>
      <c r="K3" s="7" t="s">
        <v>23</v>
      </c>
      <c r="L3" s="7" t="s">
        <v>23</v>
      </c>
      <c r="M3" s="6" t="s">
        <v>24</v>
      </c>
      <c r="N3" s="6" t="s">
        <v>25</v>
      </c>
    </row>
    <row r="4" spans="1:14" x14ac:dyDescent="0.25">
      <c r="A4" s="4">
        <v>2</v>
      </c>
      <c r="B4" s="4" t="s">
        <v>15</v>
      </c>
      <c r="C4" s="5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7" t="s">
        <v>21</v>
      </c>
      <c r="I4" s="7" t="s">
        <v>21</v>
      </c>
      <c r="J4" s="7" t="s">
        <v>22</v>
      </c>
      <c r="K4" s="7" t="s">
        <v>23</v>
      </c>
      <c r="L4" s="7" t="s">
        <v>23</v>
      </c>
      <c r="M4" s="6" t="s">
        <v>24</v>
      </c>
      <c r="N4" s="6" t="s">
        <v>31</v>
      </c>
    </row>
    <row r="5" spans="1:14" x14ac:dyDescent="0.25">
      <c r="A5" s="4">
        <v>3</v>
      </c>
      <c r="B5" s="4" t="s">
        <v>15</v>
      </c>
      <c r="C5" s="5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7" t="s">
        <v>21</v>
      </c>
      <c r="I5" s="7" t="s">
        <v>21</v>
      </c>
      <c r="J5" s="7" t="s">
        <v>23</v>
      </c>
      <c r="K5" s="7" t="s">
        <v>23</v>
      </c>
      <c r="L5" s="7" t="s">
        <v>23</v>
      </c>
      <c r="M5" s="6" t="s">
        <v>24</v>
      </c>
      <c r="N5" s="6" t="s">
        <v>37</v>
      </c>
    </row>
    <row r="6" spans="1:14" x14ac:dyDescent="0.25">
      <c r="A6" s="4">
        <v>4</v>
      </c>
      <c r="B6" s="4" t="s">
        <v>15</v>
      </c>
      <c r="C6" s="5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7" t="s">
        <v>21</v>
      </c>
      <c r="I6" s="7" t="s">
        <v>21</v>
      </c>
      <c r="J6" s="7" t="s">
        <v>22</v>
      </c>
      <c r="K6" s="7" t="s">
        <v>23</v>
      </c>
      <c r="L6" s="7" t="s">
        <v>23</v>
      </c>
      <c r="M6" s="6" t="s">
        <v>43</v>
      </c>
      <c r="N6" s="6" t="s">
        <v>44</v>
      </c>
    </row>
    <row r="7" spans="1:14" x14ac:dyDescent="0.25">
      <c r="A7" s="4">
        <v>5</v>
      </c>
      <c r="B7" s="4" t="s">
        <v>15</v>
      </c>
      <c r="C7" s="5" t="s">
        <v>45</v>
      </c>
      <c r="D7" s="6" t="s">
        <v>46</v>
      </c>
      <c r="E7" s="6" t="s">
        <v>47</v>
      </c>
      <c r="F7" s="6" t="s">
        <v>48</v>
      </c>
      <c r="G7" s="6" t="s">
        <v>49</v>
      </c>
      <c r="H7" s="7" t="s">
        <v>21</v>
      </c>
      <c r="I7" s="7" t="s">
        <v>21</v>
      </c>
      <c r="J7" s="7" t="s">
        <v>22</v>
      </c>
      <c r="K7" s="7" t="s">
        <v>23</v>
      </c>
      <c r="L7" s="7" t="s">
        <v>23</v>
      </c>
      <c r="M7" s="6" t="s">
        <v>43</v>
      </c>
      <c r="N7" s="6" t="s">
        <v>50</v>
      </c>
    </row>
    <row r="8" spans="1:14" x14ac:dyDescent="0.25">
      <c r="A8" s="8">
        <v>6</v>
      </c>
      <c r="B8" s="9" t="s">
        <v>51</v>
      </c>
      <c r="C8" s="10" t="s">
        <v>52</v>
      </c>
      <c r="D8" s="11" t="s">
        <v>53</v>
      </c>
      <c r="E8" s="11" t="s">
        <v>54</v>
      </c>
      <c r="F8" s="11" t="s">
        <v>55</v>
      </c>
      <c r="G8" s="11" t="s">
        <v>56</v>
      </c>
      <c r="H8" s="12" t="s">
        <v>21</v>
      </c>
      <c r="I8" s="12" t="s">
        <v>21</v>
      </c>
      <c r="J8" s="12" t="s">
        <v>22</v>
      </c>
      <c r="K8" s="12" t="s">
        <v>23</v>
      </c>
      <c r="L8" s="12" t="s">
        <v>23</v>
      </c>
      <c r="M8" s="11" t="s">
        <v>43</v>
      </c>
      <c r="N8" s="11" t="s">
        <v>57</v>
      </c>
    </row>
    <row r="9" spans="1:14" x14ac:dyDescent="0.25">
      <c r="A9" s="8">
        <v>7</v>
      </c>
      <c r="B9" s="9" t="s">
        <v>51</v>
      </c>
      <c r="C9" s="10" t="s">
        <v>58</v>
      </c>
      <c r="D9" s="11" t="s">
        <v>59</v>
      </c>
      <c r="E9" s="11" t="s">
        <v>60</v>
      </c>
      <c r="F9" s="11" t="s">
        <v>61</v>
      </c>
      <c r="G9" s="11" t="s">
        <v>62</v>
      </c>
      <c r="H9" s="12" t="s">
        <v>21</v>
      </c>
      <c r="I9" s="12" t="s">
        <v>21</v>
      </c>
      <c r="J9" s="12" t="s">
        <v>22</v>
      </c>
      <c r="K9" s="12" t="s">
        <v>23</v>
      </c>
      <c r="L9" s="12" t="s">
        <v>23</v>
      </c>
      <c r="M9" s="11" t="s">
        <v>63</v>
      </c>
      <c r="N9" s="11" t="s">
        <v>64</v>
      </c>
    </row>
    <row r="10" spans="1:14" x14ac:dyDescent="0.25">
      <c r="A10" s="8">
        <v>8</v>
      </c>
      <c r="B10" s="9" t="s">
        <v>51</v>
      </c>
      <c r="C10" s="10" t="s">
        <v>65</v>
      </c>
      <c r="D10" s="11" t="s">
        <v>66</v>
      </c>
      <c r="E10" s="11" t="s">
        <v>67</v>
      </c>
      <c r="F10" s="11" t="s">
        <v>68</v>
      </c>
      <c r="G10" s="11" t="s">
        <v>69</v>
      </c>
      <c r="H10" s="12" t="s">
        <v>21</v>
      </c>
      <c r="I10" s="12" t="s">
        <v>21</v>
      </c>
      <c r="J10" s="12" t="s">
        <v>22</v>
      </c>
      <c r="K10" s="12" t="s">
        <v>23</v>
      </c>
      <c r="L10" s="12" t="s">
        <v>23</v>
      </c>
      <c r="M10" s="11" t="s">
        <v>63</v>
      </c>
      <c r="N10" s="11" t="s">
        <v>57</v>
      </c>
    </row>
    <row r="11" spans="1:14" x14ac:dyDescent="0.25">
      <c r="A11" s="8">
        <v>9</v>
      </c>
      <c r="B11" s="9" t="s">
        <v>51</v>
      </c>
      <c r="C11" s="10" t="s">
        <v>70</v>
      </c>
      <c r="D11" s="11" t="s">
        <v>71</v>
      </c>
      <c r="E11" s="11" t="s">
        <v>72</v>
      </c>
      <c r="F11" s="11" t="s">
        <v>73</v>
      </c>
      <c r="G11" s="11" t="s">
        <v>74</v>
      </c>
      <c r="H11" s="12" t="s">
        <v>21</v>
      </c>
      <c r="I11" s="12" t="s">
        <v>21</v>
      </c>
      <c r="J11" s="12" t="s">
        <v>22</v>
      </c>
      <c r="K11" s="12" t="s">
        <v>23</v>
      </c>
      <c r="L11" s="12" t="s">
        <v>23</v>
      </c>
      <c r="M11" s="11" t="s">
        <v>63</v>
      </c>
      <c r="N11" s="11" t="s">
        <v>57</v>
      </c>
    </row>
    <row r="12" spans="1:14" x14ac:dyDescent="0.25">
      <c r="A12" s="8">
        <v>10</v>
      </c>
      <c r="B12" s="9" t="s">
        <v>51</v>
      </c>
      <c r="C12" s="10" t="s">
        <v>75</v>
      </c>
      <c r="D12" s="11" t="s">
        <v>76</v>
      </c>
      <c r="E12" s="11" t="s">
        <v>77</v>
      </c>
      <c r="F12" s="11" t="s">
        <v>78</v>
      </c>
      <c r="G12" s="11" t="s">
        <v>79</v>
      </c>
      <c r="H12" s="12" t="s">
        <v>21</v>
      </c>
      <c r="I12" s="12" t="s">
        <v>21</v>
      </c>
      <c r="J12" s="12" t="s">
        <v>22</v>
      </c>
      <c r="K12" s="12" t="s">
        <v>23</v>
      </c>
      <c r="L12" s="12" t="s">
        <v>23</v>
      </c>
      <c r="M12" s="11" t="s">
        <v>63</v>
      </c>
      <c r="N12" s="11" t="s">
        <v>80</v>
      </c>
    </row>
    <row r="13" spans="1:14" x14ac:dyDescent="0.25">
      <c r="A13" s="8">
        <v>11</v>
      </c>
      <c r="B13" s="9" t="s">
        <v>51</v>
      </c>
      <c r="C13" s="10" t="s">
        <v>81</v>
      </c>
      <c r="D13" s="11" t="s">
        <v>82</v>
      </c>
      <c r="E13" s="11" t="s">
        <v>83</v>
      </c>
      <c r="F13" s="11" t="s">
        <v>84</v>
      </c>
      <c r="G13" s="11" t="s">
        <v>85</v>
      </c>
      <c r="H13" s="12" t="s">
        <v>21</v>
      </c>
      <c r="I13" s="12" t="s">
        <v>21</v>
      </c>
      <c r="J13" s="12" t="s">
        <v>22</v>
      </c>
      <c r="K13" s="12" t="s">
        <v>23</v>
      </c>
      <c r="L13" s="12" t="s">
        <v>23</v>
      </c>
      <c r="M13" s="11" t="s">
        <v>63</v>
      </c>
      <c r="N13" s="11" t="s">
        <v>57</v>
      </c>
    </row>
    <row r="14" spans="1:14" x14ac:dyDescent="0.25">
      <c r="A14" s="8">
        <v>12</v>
      </c>
      <c r="B14" s="9" t="s">
        <v>51</v>
      </c>
      <c r="C14" s="10" t="s">
        <v>86</v>
      </c>
      <c r="D14" s="11" t="s">
        <v>87</v>
      </c>
      <c r="E14" s="11" t="s">
        <v>88</v>
      </c>
      <c r="F14" s="11" t="s">
        <v>89</v>
      </c>
      <c r="G14" s="11" t="s">
        <v>90</v>
      </c>
      <c r="H14" s="12" t="s">
        <v>21</v>
      </c>
      <c r="I14" s="12" t="s">
        <v>21</v>
      </c>
      <c r="J14" s="12" t="s">
        <v>22</v>
      </c>
      <c r="K14" s="12" t="s">
        <v>23</v>
      </c>
      <c r="L14" s="12" t="s">
        <v>23</v>
      </c>
      <c r="M14" s="11" t="s">
        <v>63</v>
      </c>
      <c r="N14" s="11" t="s">
        <v>57</v>
      </c>
    </row>
    <row r="15" spans="1:14" x14ac:dyDescent="0.25">
      <c r="A15" s="8">
        <v>13</v>
      </c>
      <c r="B15" s="9" t="s">
        <v>51</v>
      </c>
      <c r="C15" s="10" t="s">
        <v>91</v>
      </c>
      <c r="D15" s="11" t="s">
        <v>92</v>
      </c>
      <c r="E15" s="11" t="s">
        <v>93</v>
      </c>
      <c r="F15" s="11" t="s">
        <v>94</v>
      </c>
      <c r="G15" s="11" t="s">
        <v>95</v>
      </c>
      <c r="H15" s="12" t="s">
        <v>21</v>
      </c>
      <c r="I15" s="12" t="s">
        <v>21</v>
      </c>
      <c r="J15" s="12" t="s">
        <v>22</v>
      </c>
      <c r="K15" s="12" t="s">
        <v>23</v>
      </c>
      <c r="L15" s="12" t="s">
        <v>23</v>
      </c>
      <c r="M15" s="11" t="s">
        <v>63</v>
      </c>
      <c r="N15" s="11" t="s">
        <v>96</v>
      </c>
    </row>
    <row r="16" spans="1:14" x14ac:dyDescent="0.25">
      <c r="A16" s="8">
        <v>14</v>
      </c>
      <c r="B16" s="9" t="s">
        <v>51</v>
      </c>
      <c r="C16" s="10" t="s">
        <v>97</v>
      </c>
      <c r="D16" s="11" t="s">
        <v>98</v>
      </c>
      <c r="E16" s="11" t="s">
        <v>99</v>
      </c>
      <c r="F16" s="11" t="s">
        <v>100</v>
      </c>
      <c r="G16" s="11" t="s">
        <v>101</v>
      </c>
      <c r="H16" s="12" t="s">
        <v>21</v>
      </c>
      <c r="I16" s="12" t="s">
        <v>21</v>
      </c>
      <c r="J16" s="12" t="s">
        <v>22</v>
      </c>
      <c r="K16" s="12" t="s">
        <v>23</v>
      </c>
      <c r="L16" s="12" t="s">
        <v>23</v>
      </c>
      <c r="M16" s="11" t="s">
        <v>63</v>
      </c>
      <c r="N16" s="11" t="s">
        <v>102</v>
      </c>
    </row>
    <row r="17" spans="1:14" x14ac:dyDescent="0.25">
      <c r="A17" s="8">
        <v>15</v>
      </c>
      <c r="B17" s="9" t="s">
        <v>51</v>
      </c>
      <c r="C17" s="10" t="s">
        <v>103</v>
      </c>
      <c r="D17" s="11" t="s">
        <v>104</v>
      </c>
      <c r="E17" s="11" t="s">
        <v>105</v>
      </c>
      <c r="F17" s="11" t="s">
        <v>89</v>
      </c>
      <c r="G17" s="11" t="s">
        <v>106</v>
      </c>
      <c r="H17" s="12" t="s">
        <v>21</v>
      </c>
      <c r="I17" s="12" t="s">
        <v>21</v>
      </c>
      <c r="J17" s="12" t="s">
        <v>22</v>
      </c>
      <c r="K17" s="12" t="s">
        <v>23</v>
      </c>
      <c r="L17" s="12" t="s">
        <v>23</v>
      </c>
      <c r="M17" s="11" t="s">
        <v>63</v>
      </c>
      <c r="N17" s="11" t="s">
        <v>57</v>
      </c>
    </row>
    <row r="18" spans="1:14" x14ac:dyDescent="0.25">
      <c r="A18" s="8">
        <v>16</v>
      </c>
      <c r="B18" s="9" t="s">
        <v>51</v>
      </c>
      <c r="C18" s="10" t="s">
        <v>107</v>
      </c>
      <c r="D18" s="11" t="s">
        <v>108</v>
      </c>
      <c r="E18" s="11" t="s">
        <v>109</v>
      </c>
      <c r="F18" s="11" t="s">
        <v>110</v>
      </c>
      <c r="G18" s="11" t="s">
        <v>111</v>
      </c>
      <c r="H18" s="12" t="s">
        <v>21</v>
      </c>
      <c r="I18" s="12" t="s">
        <v>21</v>
      </c>
      <c r="J18" s="12" t="s">
        <v>22</v>
      </c>
      <c r="K18" s="12" t="s">
        <v>23</v>
      </c>
      <c r="L18" s="12" t="s">
        <v>21</v>
      </c>
      <c r="M18" s="11" t="s">
        <v>63</v>
      </c>
      <c r="N18" s="11" t="s">
        <v>112</v>
      </c>
    </row>
    <row r="19" spans="1:14" x14ac:dyDescent="0.25">
      <c r="A19" s="8">
        <v>17</v>
      </c>
      <c r="B19" s="9" t="s">
        <v>51</v>
      </c>
      <c r="C19" s="10" t="s">
        <v>113</v>
      </c>
      <c r="D19" s="11" t="s">
        <v>114</v>
      </c>
      <c r="E19" s="11" t="s">
        <v>115</v>
      </c>
      <c r="F19" s="11" t="s">
        <v>116</v>
      </c>
      <c r="G19" s="11" t="s">
        <v>117</v>
      </c>
      <c r="H19" s="12" t="s">
        <v>21</v>
      </c>
      <c r="I19" s="12" t="s">
        <v>21</v>
      </c>
      <c r="J19" s="12" t="s">
        <v>22</v>
      </c>
      <c r="K19" s="12" t="s">
        <v>23</v>
      </c>
      <c r="L19" s="12" t="s">
        <v>21</v>
      </c>
      <c r="M19" s="11" t="s">
        <v>43</v>
      </c>
      <c r="N19" s="11" t="s">
        <v>118</v>
      </c>
    </row>
    <row r="20" spans="1:14" x14ac:dyDescent="0.25">
      <c r="A20" s="8">
        <v>18</v>
      </c>
      <c r="B20" s="9" t="s">
        <v>51</v>
      </c>
      <c r="C20" s="10" t="s">
        <v>119</v>
      </c>
      <c r="D20" s="11" t="s">
        <v>120</v>
      </c>
      <c r="E20" s="11" t="s">
        <v>121</v>
      </c>
      <c r="F20" s="11" t="s">
        <v>122</v>
      </c>
      <c r="G20" s="11" t="s">
        <v>123</v>
      </c>
      <c r="H20" s="12" t="s">
        <v>21</v>
      </c>
      <c r="I20" s="12" t="s">
        <v>21</v>
      </c>
      <c r="J20" s="12" t="s">
        <v>22</v>
      </c>
      <c r="K20" s="12" t="s">
        <v>23</v>
      </c>
      <c r="L20" s="12" t="s">
        <v>23</v>
      </c>
      <c r="M20" s="11" t="s">
        <v>63</v>
      </c>
      <c r="N20" s="11" t="s">
        <v>124</v>
      </c>
    </row>
    <row r="21" spans="1:14" x14ac:dyDescent="0.25">
      <c r="A21" s="8">
        <v>19</v>
      </c>
      <c r="B21" s="9" t="s">
        <v>51</v>
      </c>
      <c r="C21" s="10" t="s">
        <v>125</v>
      </c>
      <c r="D21" s="11" t="s">
        <v>126</v>
      </c>
      <c r="E21" s="11" t="s">
        <v>127</v>
      </c>
      <c r="F21" s="11" t="s">
        <v>128</v>
      </c>
      <c r="G21" s="11" t="s">
        <v>129</v>
      </c>
      <c r="H21" s="12" t="s">
        <v>21</v>
      </c>
      <c r="I21" s="12" t="s">
        <v>21</v>
      </c>
      <c r="J21" s="12" t="s">
        <v>22</v>
      </c>
      <c r="K21" s="12" t="s">
        <v>23</v>
      </c>
      <c r="L21" s="12" t="s">
        <v>21</v>
      </c>
      <c r="M21" s="11" t="s">
        <v>63</v>
      </c>
      <c r="N21" s="11" t="s">
        <v>130</v>
      </c>
    </row>
    <row r="22" spans="1:14" x14ac:dyDescent="0.25">
      <c r="A22" s="8">
        <v>20</v>
      </c>
      <c r="B22" s="9" t="s">
        <v>51</v>
      </c>
      <c r="C22" s="10" t="s">
        <v>131</v>
      </c>
      <c r="D22" s="11" t="s">
        <v>132</v>
      </c>
      <c r="E22" s="11" t="s">
        <v>133</v>
      </c>
      <c r="F22" s="11" t="s">
        <v>134</v>
      </c>
      <c r="G22" s="11" t="s">
        <v>135</v>
      </c>
      <c r="H22" s="12" t="s">
        <v>21</v>
      </c>
      <c r="I22" s="12" t="s">
        <v>21</v>
      </c>
      <c r="J22" s="12" t="s">
        <v>22</v>
      </c>
      <c r="K22" s="12" t="s">
        <v>23</v>
      </c>
      <c r="L22" s="12" t="s">
        <v>23</v>
      </c>
      <c r="M22" s="11" t="s">
        <v>63</v>
      </c>
      <c r="N22" s="11" t="s">
        <v>136</v>
      </c>
    </row>
    <row r="23" spans="1:14" x14ac:dyDescent="0.25">
      <c r="A23" s="8">
        <v>21</v>
      </c>
      <c r="B23" s="9" t="s">
        <v>51</v>
      </c>
      <c r="C23" s="10" t="s">
        <v>137</v>
      </c>
      <c r="D23" s="11" t="s">
        <v>138</v>
      </c>
      <c r="E23" s="11" t="s">
        <v>139</v>
      </c>
      <c r="F23" s="11" t="s">
        <v>140</v>
      </c>
      <c r="G23" s="11" t="s">
        <v>141</v>
      </c>
      <c r="H23" s="12" t="s">
        <v>21</v>
      </c>
      <c r="I23" s="12" t="s">
        <v>21</v>
      </c>
      <c r="J23" s="12" t="s">
        <v>22</v>
      </c>
      <c r="K23" s="12" t="s">
        <v>23</v>
      </c>
      <c r="L23" s="12" t="s">
        <v>21</v>
      </c>
      <c r="M23" s="11" t="s">
        <v>43</v>
      </c>
      <c r="N23" s="11" t="s">
        <v>142</v>
      </c>
    </row>
    <row r="24" spans="1:14" x14ac:dyDescent="0.25">
      <c r="A24" s="4">
        <v>22</v>
      </c>
      <c r="B24" s="4" t="s">
        <v>143</v>
      </c>
      <c r="C24" s="5" t="s">
        <v>144</v>
      </c>
      <c r="D24" s="6" t="s">
        <v>145</v>
      </c>
      <c r="E24" s="6" t="s">
        <v>146</v>
      </c>
      <c r="F24" s="6" t="s">
        <v>147</v>
      </c>
      <c r="G24" s="6" t="s">
        <v>148</v>
      </c>
      <c r="H24" s="7" t="s">
        <v>21</v>
      </c>
      <c r="I24" s="7" t="s">
        <v>21</v>
      </c>
      <c r="J24" s="7" t="s">
        <v>23</v>
      </c>
      <c r="K24" s="7" t="s">
        <v>23</v>
      </c>
      <c r="L24" s="7" t="s">
        <v>23</v>
      </c>
      <c r="M24" s="6" t="s">
        <v>24</v>
      </c>
      <c r="N24" s="6" t="s">
        <v>149</v>
      </c>
    </row>
    <row r="25" spans="1:14" x14ac:dyDescent="0.25">
      <c r="A25" s="4">
        <v>23</v>
      </c>
      <c r="B25" s="4" t="s">
        <v>143</v>
      </c>
      <c r="C25" s="5" t="s">
        <v>150</v>
      </c>
      <c r="D25" s="6" t="s">
        <v>151</v>
      </c>
      <c r="E25" s="6" t="s">
        <v>152</v>
      </c>
      <c r="F25" s="6" t="s">
        <v>153</v>
      </c>
      <c r="G25" s="6" t="s">
        <v>154</v>
      </c>
      <c r="H25" s="7" t="s">
        <v>21</v>
      </c>
      <c r="I25" s="7" t="s">
        <v>21</v>
      </c>
      <c r="J25" s="7" t="s">
        <v>23</v>
      </c>
      <c r="K25" s="7" t="s">
        <v>23</v>
      </c>
      <c r="L25" s="7" t="s">
        <v>23</v>
      </c>
      <c r="M25" s="6" t="s">
        <v>43</v>
      </c>
      <c r="N25" s="6" t="s">
        <v>37</v>
      </c>
    </row>
    <row r="26" spans="1:14" x14ac:dyDescent="0.25">
      <c r="A26" s="4">
        <v>24</v>
      </c>
      <c r="B26" s="4" t="s">
        <v>143</v>
      </c>
      <c r="C26" s="5" t="s">
        <v>155</v>
      </c>
      <c r="D26" s="6" t="s">
        <v>156</v>
      </c>
      <c r="E26" s="6" t="s">
        <v>157</v>
      </c>
      <c r="F26" s="6" t="s">
        <v>158</v>
      </c>
      <c r="G26" s="6" t="s">
        <v>159</v>
      </c>
      <c r="H26" s="7" t="s">
        <v>21</v>
      </c>
      <c r="I26" s="7" t="s">
        <v>21</v>
      </c>
      <c r="J26" s="7" t="s">
        <v>23</v>
      </c>
      <c r="K26" s="7" t="s">
        <v>23</v>
      </c>
      <c r="L26" s="7" t="s">
        <v>23</v>
      </c>
      <c r="M26" s="6" t="s">
        <v>63</v>
      </c>
      <c r="N26" s="6" t="s">
        <v>37</v>
      </c>
    </row>
    <row r="27" spans="1:14" x14ac:dyDescent="0.25">
      <c r="A27" s="4">
        <v>25</v>
      </c>
      <c r="B27" s="4" t="s">
        <v>143</v>
      </c>
      <c r="C27" s="5" t="s">
        <v>160</v>
      </c>
      <c r="D27" s="6" t="s">
        <v>161</v>
      </c>
      <c r="E27" s="6" t="s">
        <v>162</v>
      </c>
      <c r="F27" s="6" t="s">
        <v>163</v>
      </c>
      <c r="G27" s="6" t="s">
        <v>164</v>
      </c>
      <c r="H27" s="7" t="s">
        <v>21</v>
      </c>
      <c r="I27" s="7" t="s">
        <v>21</v>
      </c>
      <c r="J27" s="7" t="s">
        <v>23</v>
      </c>
      <c r="K27" s="7" t="s">
        <v>23</v>
      </c>
      <c r="L27" s="7" t="s">
        <v>23</v>
      </c>
      <c r="M27" s="6" t="s">
        <v>63</v>
      </c>
      <c r="N27" s="6" t="s">
        <v>165</v>
      </c>
    </row>
    <row r="28" spans="1:14" x14ac:dyDescent="0.25">
      <c r="A28" s="4">
        <v>26</v>
      </c>
      <c r="B28" s="4" t="s">
        <v>143</v>
      </c>
      <c r="C28" s="5" t="s">
        <v>166</v>
      </c>
      <c r="D28" s="6" t="s">
        <v>167</v>
      </c>
      <c r="E28" s="6" t="s">
        <v>168</v>
      </c>
      <c r="F28" s="6" t="s">
        <v>169</v>
      </c>
      <c r="G28" s="6" t="s">
        <v>170</v>
      </c>
      <c r="H28" s="7" t="s">
        <v>21</v>
      </c>
      <c r="I28" s="7" t="s">
        <v>21</v>
      </c>
      <c r="J28" s="7" t="s">
        <v>23</v>
      </c>
      <c r="K28" s="7" t="s">
        <v>23</v>
      </c>
      <c r="L28" s="7" t="s">
        <v>23</v>
      </c>
      <c r="M28" s="6" t="s">
        <v>63</v>
      </c>
      <c r="N28" s="6" t="s">
        <v>171</v>
      </c>
    </row>
    <row r="29" spans="1:14" x14ac:dyDescent="0.25">
      <c r="A29" s="4">
        <v>27</v>
      </c>
      <c r="B29" s="4" t="s">
        <v>143</v>
      </c>
      <c r="C29" s="5" t="s">
        <v>172</v>
      </c>
      <c r="D29" s="6" t="s">
        <v>173</v>
      </c>
      <c r="E29" s="6" t="s">
        <v>174</v>
      </c>
      <c r="F29" s="6" t="s">
        <v>175</v>
      </c>
      <c r="G29" s="6" t="s">
        <v>176</v>
      </c>
      <c r="H29" s="7" t="s">
        <v>21</v>
      </c>
      <c r="I29" s="7" t="s">
        <v>21</v>
      </c>
      <c r="J29" s="7" t="s">
        <v>23</v>
      </c>
      <c r="K29" s="7" t="s">
        <v>23</v>
      </c>
      <c r="L29" s="7" t="s">
        <v>23</v>
      </c>
      <c r="M29" s="6" t="s">
        <v>43</v>
      </c>
      <c r="N29" s="6" t="s">
        <v>37</v>
      </c>
    </row>
    <row r="30" spans="1:14" x14ac:dyDescent="0.25">
      <c r="A30" s="8">
        <v>28</v>
      </c>
      <c r="B30" s="9" t="s">
        <v>177</v>
      </c>
      <c r="C30" s="10" t="s">
        <v>178</v>
      </c>
      <c r="D30" s="11" t="s">
        <v>179</v>
      </c>
      <c r="E30" s="11" t="s">
        <v>180</v>
      </c>
      <c r="F30" s="11" t="s">
        <v>181</v>
      </c>
      <c r="G30" s="11" t="s">
        <v>182</v>
      </c>
      <c r="H30" s="12" t="s">
        <v>21</v>
      </c>
      <c r="I30" s="12" t="s">
        <v>21</v>
      </c>
      <c r="J30" s="12" t="s">
        <v>22</v>
      </c>
      <c r="K30" s="12" t="s">
        <v>23</v>
      </c>
      <c r="L30" s="12" t="s">
        <v>23</v>
      </c>
      <c r="M30" s="11" t="s">
        <v>24</v>
      </c>
      <c r="N30" s="11" t="s">
        <v>183</v>
      </c>
    </row>
    <row r="31" spans="1:14" x14ac:dyDescent="0.25">
      <c r="A31" s="8">
        <v>29</v>
      </c>
      <c r="B31" s="9" t="s">
        <v>177</v>
      </c>
      <c r="C31" s="10" t="s">
        <v>184</v>
      </c>
      <c r="D31" s="11" t="s">
        <v>185</v>
      </c>
      <c r="E31" s="11" t="s">
        <v>186</v>
      </c>
      <c r="F31" s="11" t="s">
        <v>187</v>
      </c>
      <c r="G31" s="11" t="s">
        <v>188</v>
      </c>
      <c r="H31" s="12" t="s">
        <v>21</v>
      </c>
      <c r="I31" s="12" t="s">
        <v>21</v>
      </c>
      <c r="J31" s="12" t="s">
        <v>22</v>
      </c>
      <c r="K31" s="12" t="s">
        <v>23</v>
      </c>
      <c r="L31" s="12" t="s">
        <v>23</v>
      </c>
      <c r="M31" s="11" t="s">
        <v>43</v>
      </c>
      <c r="N31" s="11" t="s">
        <v>189</v>
      </c>
    </row>
    <row r="32" spans="1:14" x14ac:dyDescent="0.25">
      <c r="A32" s="8">
        <v>30</v>
      </c>
      <c r="B32" s="9" t="s">
        <v>177</v>
      </c>
      <c r="C32" s="10" t="s">
        <v>190</v>
      </c>
      <c r="D32" s="11" t="s">
        <v>191</v>
      </c>
      <c r="E32" s="11" t="s">
        <v>192</v>
      </c>
      <c r="F32" s="11" t="s">
        <v>193</v>
      </c>
      <c r="G32" s="11" t="s">
        <v>194</v>
      </c>
      <c r="H32" s="12" t="s">
        <v>21</v>
      </c>
      <c r="I32" s="12" t="s">
        <v>21</v>
      </c>
      <c r="J32" s="12" t="s">
        <v>23</v>
      </c>
      <c r="K32" s="12" t="s">
        <v>23</v>
      </c>
      <c r="L32" s="12" t="s">
        <v>23</v>
      </c>
      <c r="M32" s="11" t="s">
        <v>43</v>
      </c>
      <c r="N32" s="11" t="s">
        <v>149</v>
      </c>
    </row>
    <row r="33" spans="1:14" x14ac:dyDescent="0.25">
      <c r="A33" s="8">
        <v>31</v>
      </c>
      <c r="B33" s="9" t="s">
        <v>177</v>
      </c>
      <c r="C33" s="10" t="s">
        <v>195</v>
      </c>
      <c r="D33" s="11" t="s">
        <v>196</v>
      </c>
      <c r="E33" s="11" t="s">
        <v>197</v>
      </c>
      <c r="F33" s="11" t="s">
        <v>198</v>
      </c>
      <c r="G33" s="11" t="s">
        <v>199</v>
      </c>
      <c r="H33" s="12" t="s">
        <v>21</v>
      </c>
      <c r="I33" s="12" t="s">
        <v>21</v>
      </c>
      <c r="J33" s="12" t="s">
        <v>23</v>
      </c>
      <c r="K33" s="12" t="s">
        <v>23</v>
      </c>
      <c r="L33" s="12" t="s">
        <v>23</v>
      </c>
      <c r="M33" s="11" t="s">
        <v>43</v>
      </c>
      <c r="N33" s="11" t="s">
        <v>200</v>
      </c>
    </row>
    <row r="34" spans="1:14" x14ac:dyDescent="0.25">
      <c r="A34" s="4">
        <v>32</v>
      </c>
      <c r="B34" s="4" t="s">
        <v>201</v>
      </c>
      <c r="C34" s="5" t="s">
        <v>202</v>
      </c>
      <c r="D34" s="6" t="s">
        <v>203</v>
      </c>
      <c r="E34" s="6" t="s">
        <v>204</v>
      </c>
      <c r="F34" s="6" t="s">
        <v>205</v>
      </c>
      <c r="G34" s="6" t="s">
        <v>206</v>
      </c>
      <c r="H34" s="7" t="s">
        <v>21</v>
      </c>
      <c r="I34" s="7" t="s">
        <v>21</v>
      </c>
      <c r="J34" s="7" t="s">
        <v>22</v>
      </c>
      <c r="K34" s="7" t="s">
        <v>23</v>
      </c>
      <c r="L34" s="7" t="s">
        <v>23</v>
      </c>
      <c r="M34" s="6" t="s">
        <v>63</v>
      </c>
      <c r="N34" s="6" t="s">
        <v>207</v>
      </c>
    </row>
    <row r="35" spans="1:14" x14ac:dyDescent="0.25">
      <c r="A35" s="4">
        <v>33</v>
      </c>
      <c r="B35" s="4" t="s">
        <v>201</v>
      </c>
      <c r="C35" s="5" t="s">
        <v>208</v>
      </c>
      <c r="D35" s="6" t="s">
        <v>209</v>
      </c>
      <c r="E35" s="6" t="s">
        <v>210</v>
      </c>
      <c r="F35" s="6" t="s">
        <v>211</v>
      </c>
      <c r="G35" s="6" t="s">
        <v>212</v>
      </c>
      <c r="H35" s="7" t="s">
        <v>21</v>
      </c>
      <c r="I35" s="7" t="s">
        <v>21</v>
      </c>
      <c r="J35" s="7" t="s">
        <v>22</v>
      </c>
      <c r="K35" s="7" t="s">
        <v>23</v>
      </c>
      <c r="L35" s="7" t="s">
        <v>23</v>
      </c>
      <c r="M35" s="6" t="s">
        <v>43</v>
      </c>
      <c r="N35" s="6" t="s">
        <v>213</v>
      </c>
    </row>
    <row r="36" spans="1:14" x14ac:dyDescent="0.25">
      <c r="A36" s="4">
        <v>34</v>
      </c>
      <c r="B36" s="4" t="s">
        <v>201</v>
      </c>
      <c r="C36" s="5" t="s">
        <v>214</v>
      </c>
      <c r="D36" s="6" t="s">
        <v>215</v>
      </c>
      <c r="E36" s="6" t="s">
        <v>216</v>
      </c>
      <c r="F36" s="6" t="s">
        <v>89</v>
      </c>
      <c r="G36" s="6" t="s">
        <v>217</v>
      </c>
      <c r="H36" s="7" t="s">
        <v>21</v>
      </c>
      <c r="I36" s="7" t="s">
        <v>21</v>
      </c>
      <c r="J36" s="7" t="s">
        <v>22</v>
      </c>
      <c r="K36" s="7" t="s">
        <v>23</v>
      </c>
      <c r="L36" s="7" t="s">
        <v>23</v>
      </c>
      <c r="M36" s="6" t="s">
        <v>63</v>
      </c>
      <c r="N36" s="6" t="s">
        <v>57</v>
      </c>
    </row>
    <row r="37" spans="1:14" x14ac:dyDescent="0.25">
      <c r="A37" s="4">
        <v>35</v>
      </c>
      <c r="B37" s="4" t="s">
        <v>201</v>
      </c>
      <c r="C37" s="5" t="s">
        <v>218</v>
      </c>
      <c r="D37" s="6" t="s">
        <v>219</v>
      </c>
      <c r="E37" s="6" t="s">
        <v>220</v>
      </c>
      <c r="F37" s="6" t="s">
        <v>221</v>
      </c>
      <c r="G37" s="6" t="s">
        <v>222</v>
      </c>
      <c r="H37" s="7" t="s">
        <v>21</v>
      </c>
      <c r="I37" s="7" t="s">
        <v>21</v>
      </c>
      <c r="J37" s="7" t="s">
        <v>23</v>
      </c>
      <c r="K37" s="7" t="s">
        <v>23</v>
      </c>
      <c r="L37" s="7" t="s">
        <v>23</v>
      </c>
      <c r="M37" s="6" t="s">
        <v>43</v>
      </c>
      <c r="N37" s="6" t="s">
        <v>223</v>
      </c>
    </row>
    <row r="38" spans="1:14" x14ac:dyDescent="0.25">
      <c r="A38" s="4">
        <v>36</v>
      </c>
      <c r="B38" s="4" t="s">
        <v>201</v>
      </c>
      <c r="C38" s="5" t="s">
        <v>224</v>
      </c>
      <c r="D38" s="6" t="s">
        <v>225</v>
      </c>
      <c r="E38" s="6" t="s">
        <v>226</v>
      </c>
      <c r="F38" s="6" t="s">
        <v>227</v>
      </c>
      <c r="G38" s="6" t="s">
        <v>228</v>
      </c>
      <c r="H38" s="7" t="s">
        <v>21</v>
      </c>
      <c r="I38" s="7" t="s">
        <v>21</v>
      </c>
      <c r="J38" s="7" t="s">
        <v>23</v>
      </c>
      <c r="K38" s="7" t="s">
        <v>23</v>
      </c>
      <c r="L38" s="7" t="s">
        <v>23</v>
      </c>
      <c r="M38" s="6" t="s">
        <v>63</v>
      </c>
      <c r="N38" s="6" t="s">
        <v>171</v>
      </c>
    </row>
    <row r="39" spans="1:14" x14ac:dyDescent="0.25">
      <c r="A39" s="4">
        <v>37</v>
      </c>
      <c r="B39" s="4" t="s">
        <v>201</v>
      </c>
      <c r="C39" s="5" t="s">
        <v>229</v>
      </c>
      <c r="D39" s="6" t="s">
        <v>230</v>
      </c>
      <c r="E39" s="6" t="s">
        <v>231</v>
      </c>
      <c r="F39" s="6" t="s">
        <v>232</v>
      </c>
      <c r="G39" s="6" t="s">
        <v>233</v>
      </c>
      <c r="H39" s="7" t="s">
        <v>21</v>
      </c>
      <c r="I39" s="7" t="s">
        <v>21</v>
      </c>
      <c r="J39" s="7" t="s">
        <v>22</v>
      </c>
      <c r="K39" s="7" t="s">
        <v>23</v>
      </c>
      <c r="L39" s="7" t="s">
        <v>23</v>
      </c>
      <c r="M39" s="6" t="s">
        <v>43</v>
      </c>
      <c r="N39" s="6" t="s">
        <v>234</v>
      </c>
    </row>
    <row r="40" spans="1:14" x14ac:dyDescent="0.25">
      <c r="A40" s="4">
        <v>38</v>
      </c>
      <c r="B40" s="4" t="s">
        <v>201</v>
      </c>
      <c r="C40" s="5" t="s">
        <v>235</v>
      </c>
      <c r="D40" s="6" t="s">
        <v>236</v>
      </c>
      <c r="E40" s="6" t="s">
        <v>237</v>
      </c>
      <c r="F40" s="6" t="s">
        <v>238</v>
      </c>
      <c r="G40" s="6" t="s">
        <v>239</v>
      </c>
      <c r="H40" s="7" t="s">
        <v>21</v>
      </c>
      <c r="I40" s="7" t="s">
        <v>21</v>
      </c>
      <c r="J40" s="7" t="s">
        <v>22</v>
      </c>
      <c r="K40" s="7" t="s">
        <v>23</v>
      </c>
      <c r="L40" s="7" t="s">
        <v>23</v>
      </c>
      <c r="M40" s="6" t="s">
        <v>43</v>
      </c>
      <c r="N40" s="6" t="s">
        <v>240</v>
      </c>
    </row>
    <row r="41" spans="1:14" x14ac:dyDescent="0.25">
      <c r="A41" s="4">
        <v>39</v>
      </c>
      <c r="B41" s="4" t="s">
        <v>201</v>
      </c>
      <c r="C41" s="5" t="s">
        <v>241</v>
      </c>
      <c r="D41" s="6" t="s">
        <v>242</v>
      </c>
      <c r="E41" s="6" t="s">
        <v>243</v>
      </c>
      <c r="F41" s="6" t="s">
        <v>244</v>
      </c>
      <c r="G41" s="6" t="s">
        <v>239</v>
      </c>
      <c r="H41" s="7" t="s">
        <v>21</v>
      </c>
      <c r="I41" s="7" t="s">
        <v>21</v>
      </c>
      <c r="J41" s="7" t="s">
        <v>23</v>
      </c>
      <c r="K41" s="7" t="s">
        <v>23</v>
      </c>
      <c r="L41" s="7" t="s">
        <v>23</v>
      </c>
      <c r="M41" s="6" t="s">
        <v>63</v>
      </c>
      <c r="N41" s="6" t="s">
        <v>37</v>
      </c>
    </row>
    <row r="42" spans="1:14" x14ac:dyDescent="0.25">
      <c r="A42" s="4">
        <v>40</v>
      </c>
      <c r="B42" s="4" t="s">
        <v>201</v>
      </c>
      <c r="C42" s="5" t="s">
        <v>245</v>
      </c>
      <c r="D42" s="6" t="s">
        <v>246</v>
      </c>
      <c r="E42" s="6" t="s">
        <v>247</v>
      </c>
      <c r="F42" s="6" t="s">
        <v>248</v>
      </c>
      <c r="G42" s="6" t="s">
        <v>249</v>
      </c>
      <c r="H42" s="7" t="s">
        <v>21</v>
      </c>
      <c r="I42" s="7" t="s">
        <v>21</v>
      </c>
      <c r="J42" s="7" t="s">
        <v>23</v>
      </c>
      <c r="K42" s="7" t="s">
        <v>23</v>
      </c>
      <c r="L42" s="7" t="s">
        <v>23</v>
      </c>
      <c r="M42" s="6" t="s">
        <v>63</v>
      </c>
      <c r="N42" s="6" t="s">
        <v>37</v>
      </c>
    </row>
    <row r="43" spans="1:14" x14ac:dyDescent="0.25">
      <c r="A43" s="8">
        <v>41</v>
      </c>
      <c r="B43" s="9" t="s">
        <v>250</v>
      </c>
      <c r="C43" s="10" t="s">
        <v>251</v>
      </c>
      <c r="D43" s="11" t="s">
        <v>252</v>
      </c>
      <c r="E43" s="11" t="s">
        <v>253</v>
      </c>
      <c r="F43" s="11" t="s">
        <v>254</v>
      </c>
      <c r="G43" s="11" t="s">
        <v>255</v>
      </c>
      <c r="H43" s="12" t="s">
        <v>21</v>
      </c>
      <c r="I43" s="12" t="s">
        <v>21</v>
      </c>
      <c r="J43" s="12" t="s">
        <v>23</v>
      </c>
      <c r="K43" s="12" t="s">
        <v>23</v>
      </c>
      <c r="L43" s="12" t="s">
        <v>23</v>
      </c>
      <c r="M43" s="11" t="s">
        <v>24</v>
      </c>
      <c r="N43" s="11" t="s">
        <v>37</v>
      </c>
    </row>
    <row r="44" spans="1:14" x14ac:dyDescent="0.25">
      <c r="A44" s="8">
        <v>42</v>
      </c>
      <c r="B44" s="9" t="s">
        <v>250</v>
      </c>
      <c r="C44" s="10" t="s">
        <v>256</v>
      </c>
      <c r="D44" s="11" t="s">
        <v>257</v>
      </c>
      <c r="E44" s="11" t="s">
        <v>258</v>
      </c>
      <c r="F44" s="11" t="s">
        <v>259</v>
      </c>
      <c r="G44" s="11" t="s">
        <v>260</v>
      </c>
      <c r="H44" s="12" t="s">
        <v>21</v>
      </c>
      <c r="I44" s="12" t="s">
        <v>21</v>
      </c>
      <c r="J44" s="12" t="s">
        <v>23</v>
      </c>
      <c r="K44" s="12" t="s">
        <v>23</v>
      </c>
      <c r="L44" s="12" t="s">
        <v>23</v>
      </c>
      <c r="M44" s="11" t="s">
        <v>43</v>
      </c>
      <c r="N44" s="11" t="s">
        <v>261</v>
      </c>
    </row>
    <row r="45" spans="1:14" x14ac:dyDescent="0.25">
      <c r="A45" s="8">
        <v>43</v>
      </c>
      <c r="B45" s="9" t="s">
        <v>250</v>
      </c>
      <c r="C45" s="10" t="s">
        <v>262</v>
      </c>
      <c r="D45" s="11" t="s">
        <v>263</v>
      </c>
      <c r="E45" s="11" t="s">
        <v>264</v>
      </c>
      <c r="F45" s="11" t="s">
        <v>265</v>
      </c>
      <c r="G45" s="11" t="s">
        <v>266</v>
      </c>
      <c r="H45" s="12" t="s">
        <v>21</v>
      </c>
      <c r="I45" s="12" t="s">
        <v>21</v>
      </c>
      <c r="J45" s="12" t="s">
        <v>23</v>
      </c>
      <c r="K45" s="12" t="s">
        <v>23</v>
      </c>
      <c r="L45" s="12" t="s">
        <v>23</v>
      </c>
      <c r="M45" s="11" t="s">
        <v>24</v>
      </c>
      <c r="N45" s="11" t="s">
        <v>267</v>
      </c>
    </row>
    <row r="46" spans="1:14" x14ac:dyDescent="0.25">
      <c r="A46" s="8">
        <v>44</v>
      </c>
      <c r="B46" s="9" t="s">
        <v>250</v>
      </c>
      <c r="C46" s="10" t="s">
        <v>268</v>
      </c>
      <c r="D46" s="11" t="s">
        <v>269</v>
      </c>
      <c r="E46" s="11" t="s">
        <v>270</v>
      </c>
      <c r="F46" s="11" t="s">
        <v>271</v>
      </c>
      <c r="G46" s="11" t="s">
        <v>272</v>
      </c>
      <c r="H46" s="12" t="s">
        <v>21</v>
      </c>
      <c r="I46" s="12" t="s">
        <v>21</v>
      </c>
      <c r="J46" s="12" t="s">
        <v>23</v>
      </c>
      <c r="K46" s="12" t="s">
        <v>23</v>
      </c>
      <c r="L46" s="12" t="s">
        <v>23</v>
      </c>
      <c r="M46" s="11" t="s">
        <v>43</v>
      </c>
      <c r="N46" s="11" t="s">
        <v>273</v>
      </c>
    </row>
    <row r="47" spans="1:14" x14ac:dyDescent="0.25">
      <c r="A47" s="8">
        <v>45</v>
      </c>
      <c r="B47" s="9" t="s">
        <v>250</v>
      </c>
      <c r="C47" s="10" t="s">
        <v>274</v>
      </c>
      <c r="D47" s="11" t="s">
        <v>275</v>
      </c>
      <c r="E47" s="11" t="s">
        <v>276</v>
      </c>
      <c r="F47" s="11" t="s">
        <v>277</v>
      </c>
      <c r="G47" s="11" t="s">
        <v>278</v>
      </c>
      <c r="H47" s="12" t="s">
        <v>21</v>
      </c>
      <c r="I47" s="12" t="s">
        <v>21</v>
      </c>
      <c r="J47" s="12" t="s">
        <v>23</v>
      </c>
      <c r="K47" s="12" t="s">
        <v>23</v>
      </c>
      <c r="L47" s="12" t="s">
        <v>23</v>
      </c>
      <c r="M47" s="11" t="s">
        <v>43</v>
      </c>
      <c r="N47" s="11" t="s">
        <v>279</v>
      </c>
    </row>
    <row r="48" spans="1:14" x14ac:dyDescent="0.25">
      <c r="A48" s="8">
        <v>46</v>
      </c>
      <c r="B48" s="9" t="s">
        <v>250</v>
      </c>
      <c r="C48" s="10" t="s">
        <v>280</v>
      </c>
      <c r="D48" s="11" t="s">
        <v>281</v>
      </c>
      <c r="E48" s="11" t="s">
        <v>282</v>
      </c>
      <c r="F48" s="11" t="s">
        <v>283</v>
      </c>
      <c r="G48" s="11" t="s">
        <v>284</v>
      </c>
      <c r="H48" s="12" t="s">
        <v>21</v>
      </c>
      <c r="I48" s="12" t="s">
        <v>21</v>
      </c>
      <c r="J48" s="12" t="s">
        <v>23</v>
      </c>
      <c r="K48" s="12" t="s">
        <v>23</v>
      </c>
      <c r="L48" s="12" t="s">
        <v>23</v>
      </c>
      <c r="M48" s="11" t="s">
        <v>63</v>
      </c>
      <c r="N48" s="11" t="s">
        <v>285</v>
      </c>
    </row>
    <row r="49" spans="1:14" x14ac:dyDescent="0.25">
      <c r="A49" s="8">
        <v>47</v>
      </c>
      <c r="B49" s="9" t="s">
        <v>250</v>
      </c>
      <c r="C49" s="10" t="s">
        <v>286</v>
      </c>
      <c r="D49" s="11" t="s">
        <v>287</v>
      </c>
      <c r="E49" s="11" t="s">
        <v>288</v>
      </c>
      <c r="F49" s="11" t="s">
        <v>289</v>
      </c>
      <c r="G49" s="11" t="s">
        <v>290</v>
      </c>
      <c r="H49" s="12" t="s">
        <v>21</v>
      </c>
      <c r="I49" s="12" t="s">
        <v>21</v>
      </c>
      <c r="J49" s="12" t="s">
        <v>23</v>
      </c>
      <c r="K49" s="12" t="s">
        <v>23</v>
      </c>
      <c r="L49" s="12" t="s">
        <v>23</v>
      </c>
      <c r="M49" s="11" t="s">
        <v>63</v>
      </c>
      <c r="N49" s="11" t="s">
        <v>291</v>
      </c>
    </row>
    <row r="50" spans="1:14" x14ac:dyDescent="0.25">
      <c r="A50" s="8">
        <v>48</v>
      </c>
      <c r="B50" s="9" t="s">
        <v>250</v>
      </c>
      <c r="C50" s="10" t="s">
        <v>292</v>
      </c>
      <c r="D50" s="11" t="s">
        <v>293</v>
      </c>
      <c r="E50" s="11" t="s">
        <v>294</v>
      </c>
      <c r="F50" s="11" t="s">
        <v>295</v>
      </c>
      <c r="G50" s="11" t="s">
        <v>296</v>
      </c>
      <c r="H50" s="12" t="s">
        <v>21</v>
      </c>
      <c r="I50" s="12" t="s">
        <v>21</v>
      </c>
      <c r="J50" s="12" t="s">
        <v>23</v>
      </c>
      <c r="K50" s="12" t="s">
        <v>23</v>
      </c>
      <c r="L50" s="12" t="s">
        <v>23</v>
      </c>
      <c r="M50" s="11" t="s">
        <v>63</v>
      </c>
      <c r="N50" s="11" t="s">
        <v>297</v>
      </c>
    </row>
    <row r="51" spans="1:14" x14ac:dyDescent="0.25">
      <c r="A51" s="4">
        <v>49</v>
      </c>
      <c r="B51" s="4" t="s">
        <v>298</v>
      </c>
      <c r="C51" s="5" t="s">
        <v>299</v>
      </c>
      <c r="D51" s="6" t="s">
        <v>300</v>
      </c>
      <c r="E51" s="6" t="s">
        <v>301</v>
      </c>
      <c r="F51" s="6" t="s">
        <v>302</v>
      </c>
      <c r="G51" s="6" t="s">
        <v>303</v>
      </c>
      <c r="H51" s="7" t="s">
        <v>21</v>
      </c>
      <c r="I51" s="7" t="s">
        <v>21</v>
      </c>
      <c r="J51" s="7" t="s">
        <v>23</v>
      </c>
      <c r="K51" s="7" t="s">
        <v>23</v>
      </c>
      <c r="L51" s="7" t="s">
        <v>23</v>
      </c>
      <c r="M51" s="6" t="s">
        <v>24</v>
      </c>
      <c r="N51" s="6" t="s">
        <v>304</v>
      </c>
    </row>
    <row r="52" spans="1:14" x14ac:dyDescent="0.25">
      <c r="A52" s="4">
        <v>50</v>
      </c>
      <c r="B52" s="4" t="s">
        <v>298</v>
      </c>
      <c r="C52" s="5" t="s">
        <v>305</v>
      </c>
      <c r="D52" s="6" t="s">
        <v>306</v>
      </c>
      <c r="E52" s="6" t="s">
        <v>307</v>
      </c>
      <c r="F52" s="6" t="s">
        <v>308</v>
      </c>
      <c r="G52" s="6" t="s">
        <v>309</v>
      </c>
      <c r="H52" s="7" t="s">
        <v>21</v>
      </c>
      <c r="I52" s="7" t="s">
        <v>21</v>
      </c>
      <c r="J52" s="7" t="s">
        <v>23</v>
      </c>
      <c r="K52" s="7" t="s">
        <v>23</v>
      </c>
      <c r="L52" s="7" t="s">
        <v>23</v>
      </c>
      <c r="M52" s="6" t="s">
        <v>43</v>
      </c>
      <c r="N52" s="6" t="s">
        <v>37</v>
      </c>
    </row>
    <row r="53" spans="1:14" x14ac:dyDescent="0.25">
      <c r="A53" s="4">
        <v>51</v>
      </c>
      <c r="B53" s="4" t="s">
        <v>298</v>
      </c>
      <c r="C53" s="5" t="s">
        <v>310</v>
      </c>
      <c r="D53" s="6" t="s">
        <v>311</v>
      </c>
      <c r="E53" s="6" t="s">
        <v>312</v>
      </c>
      <c r="F53" s="6" t="s">
        <v>313</v>
      </c>
      <c r="G53" s="6" t="s">
        <v>314</v>
      </c>
      <c r="H53" s="7" t="s">
        <v>21</v>
      </c>
      <c r="I53" s="7" t="s">
        <v>21</v>
      </c>
      <c r="J53" s="7" t="s">
        <v>23</v>
      </c>
      <c r="K53" s="7" t="s">
        <v>23</v>
      </c>
      <c r="L53" s="7" t="s">
        <v>23</v>
      </c>
      <c r="M53" s="6" t="s">
        <v>63</v>
      </c>
      <c r="N53" s="6" t="s">
        <v>315</v>
      </c>
    </row>
    <row r="54" spans="1:14" x14ac:dyDescent="0.25">
      <c r="A54" s="4">
        <v>52</v>
      </c>
      <c r="B54" s="4" t="s">
        <v>298</v>
      </c>
      <c r="C54" s="5" t="s">
        <v>316</v>
      </c>
      <c r="D54" s="6" t="s">
        <v>317</v>
      </c>
      <c r="E54" s="6" t="s">
        <v>318</v>
      </c>
      <c r="F54" s="6" t="s">
        <v>319</v>
      </c>
      <c r="G54" s="6" t="s">
        <v>320</v>
      </c>
      <c r="H54" s="7" t="s">
        <v>21</v>
      </c>
      <c r="I54" s="7" t="s">
        <v>21</v>
      </c>
      <c r="J54" s="7" t="s">
        <v>22</v>
      </c>
      <c r="K54" s="7" t="s">
        <v>23</v>
      </c>
      <c r="L54" s="7" t="s">
        <v>23</v>
      </c>
      <c r="M54" s="6" t="s">
        <v>24</v>
      </c>
      <c r="N54" s="6" t="s">
        <v>321</v>
      </c>
    </row>
    <row r="55" spans="1:14" x14ac:dyDescent="0.25">
      <c r="A55" s="4">
        <v>53</v>
      </c>
      <c r="B55" s="4" t="s">
        <v>298</v>
      </c>
      <c r="C55" s="5" t="s">
        <v>322</v>
      </c>
      <c r="D55" s="6" t="s">
        <v>323</v>
      </c>
      <c r="E55" s="6" t="s">
        <v>324</v>
      </c>
      <c r="F55" s="6" t="s">
        <v>325</v>
      </c>
      <c r="G55" s="6" t="s">
        <v>326</v>
      </c>
      <c r="H55" s="7" t="s">
        <v>21</v>
      </c>
      <c r="I55" s="7" t="s">
        <v>21</v>
      </c>
      <c r="J55" s="7" t="s">
        <v>23</v>
      </c>
      <c r="K55" s="7" t="s">
        <v>23</v>
      </c>
      <c r="L55" s="7" t="s">
        <v>23</v>
      </c>
      <c r="M55" s="6" t="s">
        <v>43</v>
      </c>
      <c r="N55" s="6" t="s">
        <v>37</v>
      </c>
    </row>
    <row r="56" spans="1:14" x14ac:dyDescent="0.25">
      <c r="A56" s="4">
        <v>54</v>
      </c>
      <c r="B56" s="4" t="s">
        <v>298</v>
      </c>
      <c r="C56" s="5" t="s">
        <v>327</v>
      </c>
      <c r="D56" s="6" t="s">
        <v>328</v>
      </c>
      <c r="E56" s="6" t="s">
        <v>329</v>
      </c>
      <c r="F56" s="6" t="s">
        <v>330</v>
      </c>
      <c r="G56" s="6" t="s">
        <v>331</v>
      </c>
      <c r="H56" s="7" t="s">
        <v>21</v>
      </c>
      <c r="I56" s="7" t="s">
        <v>21</v>
      </c>
      <c r="J56" s="7" t="s">
        <v>23</v>
      </c>
      <c r="K56" s="7" t="s">
        <v>23</v>
      </c>
      <c r="L56" s="7" t="s">
        <v>23</v>
      </c>
      <c r="M56" s="6" t="s">
        <v>63</v>
      </c>
      <c r="N56" s="6" t="s">
        <v>332</v>
      </c>
    </row>
    <row r="57" spans="1:14" x14ac:dyDescent="0.25">
      <c r="A57" s="4">
        <v>55</v>
      </c>
      <c r="B57" s="4" t="s">
        <v>298</v>
      </c>
      <c r="C57" s="5" t="s">
        <v>333</v>
      </c>
      <c r="D57" s="6" t="s">
        <v>334</v>
      </c>
      <c r="E57" s="6" t="s">
        <v>335</v>
      </c>
      <c r="F57" s="6" t="s">
        <v>336</v>
      </c>
      <c r="G57" s="6" t="s">
        <v>337</v>
      </c>
      <c r="H57" s="7" t="s">
        <v>21</v>
      </c>
      <c r="I57" s="7" t="s">
        <v>21</v>
      </c>
      <c r="J57" s="7" t="s">
        <v>23</v>
      </c>
      <c r="K57" s="7" t="s">
        <v>23</v>
      </c>
      <c r="L57" s="7" t="s">
        <v>23</v>
      </c>
      <c r="M57" s="6" t="s">
        <v>43</v>
      </c>
      <c r="N57" s="6" t="s">
        <v>338</v>
      </c>
    </row>
    <row r="58" spans="1:14" x14ac:dyDescent="0.25">
      <c r="A58" s="4">
        <v>56</v>
      </c>
      <c r="B58" s="4" t="s">
        <v>298</v>
      </c>
      <c r="C58" s="5" t="s">
        <v>339</v>
      </c>
      <c r="D58" s="6" t="s">
        <v>340</v>
      </c>
      <c r="E58" s="6" t="s">
        <v>341</v>
      </c>
      <c r="F58" s="6" t="s">
        <v>342</v>
      </c>
      <c r="G58" s="6" t="s">
        <v>343</v>
      </c>
      <c r="H58" s="7" t="s">
        <v>21</v>
      </c>
      <c r="I58" s="7" t="s">
        <v>21</v>
      </c>
      <c r="J58" s="7" t="s">
        <v>22</v>
      </c>
      <c r="K58" s="7" t="s">
        <v>23</v>
      </c>
      <c r="L58" s="7" t="s">
        <v>23</v>
      </c>
      <c r="M58" s="6" t="s">
        <v>24</v>
      </c>
      <c r="N58" s="6" t="s">
        <v>344</v>
      </c>
    </row>
    <row r="59" spans="1:14" x14ac:dyDescent="0.25">
      <c r="A59" s="4">
        <v>57</v>
      </c>
      <c r="B59" s="4" t="s">
        <v>298</v>
      </c>
      <c r="C59" s="5" t="s">
        <v>345</v>
      </c>
      <c r="D59" s="6" t="s">
        <v>346</v>
      </c>
      <c r="E59" s="6" t="s">
        <v>347</v>
      </c>
      <c r="F59" s="6" t="s">
        <v>348</v>
      </c>
      <c r="G59" s="6" t="s">
        <v>349</v>
      </c>
      <c r="H59" s="7" t="s">
        <v>21</v>
      </c>
      <c r="I59" s="7" t="s">
        <v>21</v>
      </c>
      <c r="J59" s="7" t="s">
        <v>22</v>
      </c>
      <c r="K59" s="7" t="s">
        <v>23</v>
      </c>
      <c r="L59" s="7" t="s">
        <v>23</v>
      </c>
      <c r="M59" s="6" t="s">
        <v>24</v>
      </c>
      <c r="N59" s="6" t="s">
        <v>350</v>
      </c>
    </row>
    <row r="60" spans="1:14" x14ac:dyDescent="0.25">
      <c r="A60" s="4">
        <v>58</v>
      </c>
      <c r="B60" s="4" t="s">
        <v>298</v>
      </c>
      <c r="C60" s="5" t="s">
        <v>351</v>
      </c>
      <c r="D60" s="6" t="s">
        <v>352</v>
      </c>
      <c r="E60" s="6" t="s">
        <v>353</v>
      </c>
      <c r="F60" s="6" t="s">
        <v>354</v>
      </c>
      <c r="G60" s="6" t="s">
        <v>355</v>
      </c>
      <c r="H60" s="7" t="s">
        <v>21</v>
      </c>
      <c r="I60" s="7" t="s">
        <v>21</v>
      </c>
      <c r="J60" s="7" t="s">
        <v>23</v>
      </c>
      <c r="K60" s="7" t="s">
        <v>23</v>
      </c>
      <c r="L60" s="7" t="s">
        <v>23</v>
      </c>
      <c r="M60" s="6" t="s">
        <v>63</v>
      </c>
      <c r="N60" s="6" t="s">
        <v>332</v>
      </c>
    </row>
    <row r="61" spans="1:14" x14ac:dyDescent="0.25">
      <c r="A61" s="8">
        <v>59</v>
      </c>
      <c r="B61" s="9" t="s">
        <v>356</v>
      </c>
      <c r="C61" s="10" t="s">
        <v>357</v>
      </c>
      <c r="D61" s="11" t="s">
        <v>358</v>
      </c>
      <c r="E61" s="11" t="s">
        <v>359</v>
      </c>
      <c r="F61" s="11" t="s">
        <v>360</v>
      </c>
      <c r="G61" s="11" t="s">
        <v>361</v>
      </c>
      <c r="H61" s="12" t="s">
        <v>21</v>
      </c>
      <c r="I61" s="12" t="s">
        <v>21</v>
      </c>
      <c r="J61" s="12" t="s">
        <v>23</v>
      </c>
      <c r="K61" s="12" t="s">
        <v>23</v>
      </c>
      <c r="L61" s="12" t="s">
        <v>23</v>
      </c>
      <c r="M61" s="11" t="s">
        <v>43</v>
      </c>
      <c r="N61" s="11" t="s">
        <v>362</v>
      </c>
    </row>
    <row r="62" spans="1:14" x14ac:dyDescent="0.25">
      <c r="A62" s="8">
        <v>60</v>
      </c>
      <c r="B62" s="9" t="s">
        <v>356</v>
      </c>
      <c r="C62" s="10" t="s">
        <v>363</v>
      </c>
      <c r="D62" s="11" t="s">
        <v>364</v>
      </c>
      <c r="E62" s="11" t="s">
        <v>365</v>
      </c>
      <c r="F62" s="11" t="s">
        <v>366</v>
      </c>
      <c r="G62" s="11" t="s">
        <v>367</v>
      </c>
      <c r="H62" s="12" t="s">
        <v>21</v>
      </c>
      <c r="I62" s="12" t="s">
        <v>21</v>
      </c>
      <c r="J62" s="12" t="s">
        <v>23</v>
      </c>
      <c r="K62" s="12" t="s">
        <v>23</v>
      </c>
      <c r="L62" s="12" t="s">
        <v>23</v>
      </c>
      <c r="M62" s="11" t="s">
        <v>63</v>
      </c>
      <c r="N62" s="11" t="s">
        <v>37</v>
      </c>
    </row>
    <row r="63" spans="1:14" x14ac:dyDescent="0.25">
      <c r="A63" s="8">
        <v>61</v>
      </c>
      <c r="B63" s="9" t="s">
        <v>356</v>
      </c>
      <c r="C63" s="10" t="s">
        <v>368</v>
      </c>
      <c r="D63" s="11" t="s">
        <v>369</v>
      </c>
      <c r="E63" s="11" t="s">
        <v>370</v>
      </c>
      <c r="F63" s="11" t="s">
        <v>371</v>
      </c>
      <c r="G63" s="11" t="s">
        <v>372</v>
      </c>
      <c r="H63" s="12" t="s">
        <v>22</v>
      </c>
      <c r="I63" s="12" t="s">
        <v>22</v>
      </c>
      <c r="J63" s="12" t="s">
        <v>23</v>
      </c>
      <c r="K63" s="12" t="s">
        <v>23</v>
      </c>
      <c r="L63" s="12" t="s">
        <v>23</v>
      </c>
      <c r="M63" s="11" t="s">
        <v>63</v>
      </c>
      <c r="N63" s="11" t="s">
        <v>373</v>
      </c>
    </row>
    <row r="64" spans="1:14" x14ac:dyDescent="0.25">
      <c r="A64" s="4">
        <v>62</v>
      </c>
      <c r="B64" s="4" t="s">
        <v>374</v>
      </c>
      <c r="C64" s="5" t="s">
        <v>375</v>
      </c>
      <c r="D64" s="6" t="s">
        <v>376</v>
      </c>
      <c r="E64" s="6" t="s">
        <v>377</v>
      </c>
      <c r="F64" s="6" t="s">
        <v>378</v>
      </c>
      <c r="G64" s="6" t="s">
        <v>379</v>
      </c>
      <c r="H64" s="7" t="s">
        <v>21</v>
      </c>
      <c r="I64" s="7" t="s">
        <v>21</v>
      </c>
      <c r="J64" s="7" t="s">
        <v>22</v>
      </c>
      <c r="K64" s="7" t="s">
        <v>23</v>
      </c>
      <c r="L64" s="7" t="s">
        <v>23</v>
      </c>
      <c r="M64" s="6" t="s">
        <v>24</v>
      </c>
      <c r="N64" s="6" t="s">
        <v>380</v>
      </c>
    </row>
    <row r="65" spans="1:14" x14ac:dyDescent="0.25">
      <c r="A65" s="4">
        <v>63</v>
      </c>
      <c r="B65" s="4" t="s">
        <v>374</v>
      </c>
      <c r="C65" s="5" t="s">
        <v>381</v>
      </c>
      <c r="D65" s="6" t="s">
        <v>382</v>
      </c>
      <c r="E65" s="6" t="s">
        <v>383</v>
      </c>
      <c r="F65" s="6" t="s">
        <v>384</v>
      </c>
      <c r="G65" s="6" t="s">
        <v>385</v>
      </c>
      <c r="H65" s="7" t="s">
        <v>21</v>
      </c>
      <c r="I65" s="7" t="s">
        <v>21</v>
      </c>
      <c r="J65" s="7" t="s">
        <v>23</v>
      </c>
      <c r="K65" s="7" t="s">
        <v>23</v>
      </c>
      <c r="L65" s="7" t="s">
        <v>23</v>
      </c>
      <c r="M65" s="6" t="s">
        <v>43</v>
      </c>
      <c r="N65" s="6" t="s">
        <v>386</v>
      </c>
    </row>
    <row r="66" spans="1:14" x14ac:dyDescent="0.25">
      <c r="A66" s="4">
        <v>64</v>
      </c>
      <c r="B66" s="4" t="s">
        <v>374</v>
      </c>
      <c r="C66" s="5" t="s">
        <v>387</v>
      </c>
      <c r="D66" s="6" t="s">
        <v>388</v>
      </c>
      <c r="E66" s="6" t="s">
        <v>389</v>
      </c>
      <c r="F66" s="6" t="s">
        <v>390</v>
      </c>
      <c r="G66" s="6" t="s">
        <v>391</v>
      </c>
      <c r="H66" s="7" t="s">
        <v>21</v>
      </c>
      <c r="I66" s="7" t="s">
        <v>21</v>
      </c>
      <c r="J66" s="7" t="s">
        <v>22</v>
      </c>
      <c r="K66" s="7" t="s">
        <v>23</v>
      </c>
      <c r="L66" s="7" t="s">
        <v>23</v>
      </c>
      <c r="M66" s="6" t="s">
        <v>63</v>
      </c>
      <c r="N66" s="6" t="s">
        <v>392</v>
      </c>
    </row>
    <row r="67" spans="1:14" x14ac:dyDescent="0.25">
      <c r="A67" s="4">
        <v>65</v>
      </c>
      <c r="B67" s="4" t="s">
        <v>374</v>
      </c>
      <c r="C67" s="5" t="s">
        <v>393</v>
      </c>
      <c r="D67" s="6" t="s">
        <v>394</v>
      </c>
      <c r="E67" s="6" t="s">
        <v>395</v>
      </c>
      <c r="F67" s="6" t="s">
        <v>396</v>
      </c>
      <c r="G67" s="6" t="s">
        <v>222</v>
      </c>
      <c r="H67" s="7" t="s">
        <v>21</v>
      </c>
      <c r="I67" s="7" t="s">
        <v>21</v>
      </c>
      <c r="J67" s="7" t="s">
        <v>23</v>
      </c>
      <c r="K67" s="7" t="s">
        <v>23</v>
      </c>
      <c r="L67" s="7" t="s">
        <v>23</v>
      </c>
      <c r="M67" s="6" t="s">
        <v>63</v>
      </c>
      <c r="N67" s="6" t="s">
        <v>397</v>
      </c>
    </row>
    <row r="68" spans="1:14" x14ac:dyDescent="0.25">
      <c r="A68" s="4">
        <v>66</v>
      </c>
      <c r="B68" s="4" t="s">
        <v>374</v>
      </c>
      <c r="C68" s="5" t="s">
        <v>398</v>
      </c>
      <c r="D68" s="6" t="s">
        <v>399</v>
      </c>
      <c r="E68" s="6" t="s">
        <v>400</v>
      </c>
      <c r="F68" s="6" t="s">
        <v>401</v>
      </c>
      <c r="G68" s="6" t="s">
        <v>402</v>
      </c>
      <c r="H68" s="7" t="s">
        <v>21</v>
      </c>
      <c r="I68" s="7" t="s">
        <v>21</v>
      </c>
      <c r="J68" s="7" t="s">
        <v>23</v>
      </c>
      <c r="K68" s="7" t="s">
        <v>23</v>
      </c>
      <c r="L68" s="7" t="s">
        <v>23</v>
      </c>
      <c r="M68" s="6" t="s">
        <v>43</v>
      </c>
      <c r="N68" s="6" t="s">
        <v>37</v>
      </c>
    </row>
    <row r="69" spans="1:14" x14ac:dyDescent="0.25">
      <c r="A69" s="4">
        <v>67</v>
      </c>
      <c r="B69" s="4" t="s">
        <v>374</v>
      </c>
      <c r="C69" s="5" t="s">
        <v>403</v>
      </c>
      <c r="D69" s="6" t="s">
        <v>404</v>
      </c>
      <c r="E69" s="6" t="s">
        <v>405</v>
      </c>
      <c r="F69" s="6" t="s">
        <v>406</v>
      </c>
      <c r="G69" s="6" t="s">
        <v>407</v>
      </c>
      <c r="H69" s="7" t="s">
        <v>21</v>
      </c>
      <c r="I69" s="7" t="s">
        <v>21</v>
      </c>
      <c r="J69" s="7" t="s">
        <v>23</v>
      </c>
      <c r="K69" s="7" t="s">
        <v>23</v>
      </c>
      <c r="L69" s="7" t="s">
        <v>23</v>
      </c>
      <c r="M69" s="6" t="s">
        <v>63</v>
      </c>
      <c r="N69" s="6" t="s">
        <v>171</v>
      </c>
    </row>
    <row r="70" spans="1:14" x14ac:dyDescent="0.25">
      <c r="A70" s="4">
        <v>68</v>
      </c>
      <c r="B70" s="4" t="s">
        <v>374</v>
      </c>
      <c r="C70" s="5" t="s">
        <v>408</v>
      </c>
      <c r="D70" s="6" t="s">
        <v>409</v>
      </c>
      <c r="E70" s="6" t="s">
        <v>410</v>
      </c>
      <c r="F70" s="6" t="s">
        <v>411</v>
      </c>
      <c r="G70" s="6" t="s">
        <v>412</v>
      </c>
      <c r="H70" s="7" t="s">
        <v>21</v>
      </c>
      <c r="I70" s="7" t="s">
        <v>23</v>
      </c>
      <c r="J70" s="7" t="s">
        <v>23</v>
      </c>
      <c r="K70" s="7" t="s">
        <v>23</v>
      </c>
      <c r="L70" s="7" t="s">
        <v>23</v>
      </c>
      <c r="M70" s="6" t="s">
        <v>63</v>
      </c>
      <c r="N70" s="6" t="s">
        <v>413</v>
      </c>
    </row>
    <row r="71" spans="1:14" x14ac:dyDescent="0.25">
      <c r="A71" s="4">
        <v>69</v>
      </c>
      <c r="B71" s="4" t="s">
        <v>374</v>
      </c>
      <c r="C71" s="5" t="s">
        <v>414</v>
      </c>
      <c r="D71" s="6" t="s">
        <v>415</v>
      </c>
      <c r="E71" s="6" t="s">
        <v>416</v>
      </c>
      <c r="F71" s="6" t="s">
        <v>417</v>
      </c>
      <c r="G71" s="6" t="s">
        <v>418</v>
      </c>
      <c r="H71" s="7" t="s">
        <v>21</v>
      </c>
      <c r="I71" s="7" t="s">
        <v>21</v>
      </c>
      <c r="J71" s="7" t="s">
        <v>23</v>
      </c>
      <c r="K71" s="7" t="s">
        <v>23</v>
      </c>
      <c r="L71" s="7" t="s">
        <v>23</v>
      </c>
      <c r="M71" s="6" t="s">
        <v>63</v>
      </c>
      <c r="N71" s="6" t="s">
        <v>419</v>
      </c>
    </row>
    <row r="72" spans="1:14" x14ac:dyDescent="0.25">
      <c r="A72" s="8">
        <v>70</v>
      </c>
      <c r="B72" s="9" t="s">
        <v>420</v>
      </c>
      <c r="C72" s="10" t="s">
        <v>421</v>
      </c>
      <c r="D72" s="11" t="s">
        <v>422</v>
      </c>
      <c r="E72" s="11" t="s">
        <v>423</v>
      </c>
      <c r="F72" s="11" t="s">
        <v>424</v>
      </c>
      <c r="G72" s="11" t="s">
        <v>425</v>
      </c>
      <c r="H72" s="12" t="s">
        <v>21</v>
      </c>
      <c r="I72" s="12" t="s">
        <v>21</v>
      </c>
      <c r="J72" s="12" t="s">
        <v>22</v>
      </c>
      <c r="K72" s="12" t="s">
        <v>23</v>
      </c>
      <c r="L72" s="12" t="s">
        <v>23</v>
      </c>
      <c r="M72" s="11" t="s">
        <v>24</v>
      </c>
      <c r="N72" s="11" t="s">
        <v>426</v>
      </c>
    </row>
    <row r="73" spans="1:14" x14ac:dyDescent="0.25">
      <c r="A73" s="8">
        <v>71</v>
      </c>
      <c r="B73" s="9" t="s">
        <v>420</v>
      </c>
      <c r="C73" s="10" t="s">
        <v>427</v>
      </c>
      <c r="D73" s="11" t="s">
        <v>428</v>
      </c>
      <c r="E73" s="11" t="s">
        <v>429</v>
      </c>
      <c r="F73" s="11" t="s">
        <v>430</v>
      </c>
      <c r="G73" s="11" t="s">
        <v>431</v>
      </c>
      <c r="H73" s="12" t="s">
        <v>21</v>
      </c>
      <c r="I73" s="12" t="s">
        <v>21</v>
      </c>
      <c r="J73" s="12" t="s">
        <v>22</v>
      </c>
      <c r="K73" s="12" t="s">
        <v>23</v>
      </c>
      <c r="L73" s="12" t="s">
        <v>23</v>
      </c>
      <c r="M73" s="11" t="s">
        <v>43</v>
      </c>
      <c r="N73" s="11" t="s">
        <v>240</v>
      </c>
    </row>
    <row r="74" spans="1:14" x14ac:dyDescent="0.25">
      <c r="A74" s="8">
        <v>72</v>
      </c>
      <c r="B74" s="9" t="s">
        <v>420</v>
      </c>
      <c r="C74" s="10" t="s">
        <v>432</v>
      </c>
      <c r="D74" s="11" t="s">
        <v>433</v>
      </c>
      <c r="E74" s="11" t="s">
        <v>434</v>
      </c>
      <c r="F74" s="11" t="s">
        <v>435</v>
      </c>
      <c r="G74" s="11" t="s">
        <v>436</v>
      </c>
      <c r="H74" s="12" t="s">
        <v>21</v>
      </c>
      <c r="I74" s="12" t="s">
        <v>21</v>
      </c>
      <c r="J74" s="12" t="s">
        <v>22</v>
      </c>
      <c r="K74" s="12" t="s">
        <v>23</v>
      </c>
      <c r="L74" s="12" t="s">
        <v>23</v>
      </c>
      <c r="M74" s="11" t="s">
        <v>43</v>
      </c>
      <c r="N74" s="11" t="s">
        <v>240</v>
      </c>
    </row>
    <row r="75" spans="1:14" x14ac:dyDescent="0.25">
      <c r="A75" s="4">
        <v>73</v>
      </c>
      <c r="B75" s="4" t="s">
        <v>437</v>
      </c>
      <c r="C75" s="5" t="s">
        <v>438</v>
      </c>
      <c r="D75" s="6" t="s">
        <v>439</v>
      </c>
      <c r="E75" s="6" t="s">
        <v>440</v>
      </c>
      <c r="F75" s="6" t="s">
        <v>441</v>
      </c>
      <c r="G75" s="6" t="s">
        <v>442</v>
      </c>
      <c r="H75" s="7" t="s">
        <v>21</v>
      </c>
      <c r="I75" s="7" t="s">
        <v>21</v>
      </c>
      <c r="J75" s="7" t="s">
        <v>22</v>
      </c>
      <c r="K75" s="7" t="s">
        <v>23</v>
      </c>
      <c r="L75" s="7" t="s">
        <v>23</v>
      </c>
      <c r="M75" s="6" t="s">
        <v>63</v>
      </c>
      <c r="N75" s="6" t="s">
        <v>443</v>
      </c>
    </row>
    <row r="76" spans="1:14" x14ac:dyDescent="0.25">
      <c r="A76" s="4">
        <v>74</v>
      </c>
      <c r="B76" s="4" t="s">
        <v>437</v>
      </c>
      <c r="C76" s="5" t="s">
        <v>444</v>
      </c>
      <c r="D76" s="6" t="s">
        <v>445</v>
      </c>
      <c r="E76" s="6" t="s">
        <v>446</v>
      </c>
      <c r="F76" s="6" t="s">
        <v>447</v>
      </c>
      <c r="G76" s="6" t="s">
        <v>222</v>
      </c>
      <c r="H76" s="7" t="s">
        <v>21</v>
      </c>
      <c r="I76" s="7" t="s">
        <v>21</v>
      </c>
      <c r="J76" s="7" t="s">
        <v>22</v>
      </c>
      <c r="K76" s="7" t="s">
        <v>23</v>
      </c>
      <c r="L76" s="7" t="s">
        <v>23</v>
      </c>
      <c r="M76" s="6" t="s">
        <v>63</v>
      </c>
      <c r="N76" s="6" t="s">
        <v>443</v>
      </c>
    </row>
    <row r="77" spans="1:14" x14ac:dyDescent="0.25">
      <c r="A77" s="8">
        <v>75</v>
      </c>
      <c r="B77" s="9" t="s">
        <v>420</v>
      </c>
      <c r="C77" s="10" t="s">
        <v>448</v>
      </c>
      <c r="D77" s="11" t="s">
        <v>449</v>
      </c>
      <c r="E77" s="11" t="s">
        <v>450</v>
      </c>
      <c r="F77" s="11" t="s">
        <v>451</v>
      </c>
      <c r="G77" s="11" t="s">
        <v>452</v>
      </c>
      <c r="H77" s="12" t="s">
        <v>21</v>
      </c>
      <c r="I77" s="12" t="s">
        <v>21</v>
      </c>
      <c r="J77" s="12" t="s">
        <v>23</v>
      </c>
      <c r="K77" s="12" t="s">
        <v>23</v>
      </c>
      <c r="L77" s="12" t="s">
        <v>23</v>
      </c>
      <c r="M77" s="11" t="s">
        <v>43</v>
      </c>
      <c r="N77" s="11" t="s">
        <v>453</v>
      </c>
    </row>
    <row r="78" spans="1:14" x14ac:dyDescent="0.25">
      <c r="A78" s="8">
        <v>76</v>
      </c>
      <c r="B78" s="9" t="s">
        <v>420</v>
      </c>
      <c r="C78" s="10" t="s">
        <v>454</v>
      </c>
      <c r="D78" s="11" t="s">
        <v>455</v>
      </c>
      <c r="E78" s="11" t="s">
        <v>456</v>
      </c>
      <c r="F78" s="11" t="s">
        <v>457</v>
      </c>
      <c r="G78" s="11" t="s">
        <v>458</v>
      </c>
      <c r="H78" s="12" t="s">
        <v>21</v>
      </c>
      <c r="I78" s="12" t="s">
        <v>21</v>
      </c>
      <c r="J78" s="12" t="s">
        <v>22</v>
      </c>
      <c r="K78" s="12" t="s">
        <v>23</v>
      </c>
      <c r="L78" s="12" t="s">
        <v>23</v>
      </c>
      <c r="M78" s="11" t="s">
        <v>24</v>
      </c>
      <c r="N78" s="11" t="s">
        <v>459</v>
      </c>
    </row>
    <row r="79" spans="1:14" x14ac:dyDescent="0.25">
      <c r="A79" s="4">
        <v>77</v>
      </c>
      <c r="B79" s="4" t="s">
        <v>437</v>
      </c>
      <c r="C79" s="5" t="s">
        <v>460</v>
      </c>
      <c r="D79" s="6" t="s">
        <v>461</v>
      </c>
      <c r="E79" s="6" t="s">
        <v>462</v>
      </c>
      <c r="F79" s="6" t="s">
        <v>463</v>
      </c>
      <c r="G79" s="6" t="s">
        <v>464</v>
      </c>
      <c r="H79" s="7" t="s">
        <v>21</v>
      </c>
      <c r="I79" s="7" t="s">
        <v>21</v>
      </c>
      <c r="J79" s="7" t="s">
        <v>22</v>
      </c>
      <c r="K79" s="7" t="s">
        <v>23</v>
      </c>
      <c r="L79" s="7" t="s">
        <v>23</v>
      </c>
      <c r="M79" s="6" t="s">
        <v>63</v>
      </c>
      <c r="N79" s="6" t="s">
        <v>465</v>
      </c>
    </row>
    <row r="80" spans="1:14" x14ac:dyDescent="0.25">
      <c r="A80" s="4">
        <v>78</v>
      </c>
      <c r="B80" s="4" t="s">
        <v>437</v>
      </c>
      <c r="C80" s="5" t="s">
        <v>466</v>
      </c>
      <c r="D80" s="6" t="s">
        <v>467</v>
      </c>
      <c r="E80" s="6" t="s">
        <v>468</v>
      </c>
      <c r="F80" s="6" t="s">
        <v>469</v>
      </c>
      <c r="G80" s="6" t="s">
        <v>470</v>
      </c>
      <c r="H80" s="7" t="s">
        <v>22</v>
      </c>
      <c r="I80" s="7" t="s">
        <v>22</v>
      </c>
      <c r="J80" s="7" t="s">
        <v>22</v>
      </c>
      <c r="K80" s="7" t="s">
        <v>23</v>
      </c>
      <c r="L80" s="7" t="s">
        <v>23</v>
      </c>
      <c r="M80" s="6" t="s">
        <v>63</v>
      </c>
      <c r="N80" s="6" t="s">
        <v>471</v>
      </c>
    </row>
    <row r="81" spans="1:14" x14ac:dyDescent="0.25">
      <c r="A81" s="8">
        <v>79</v>
      </c>
      <c r="B81" s="9" t="s">
        <v>420</v>
      </c>
      <c r="C81" s="10" t="s">
        <v>472</v>
      </c>
      <c r="D81" s="11" t="s">
        <v>473</v>
      </c>
      <c r="E81" s="11" t="s">
        <v>474</v>
      </c>
      <c r="F81" s="11" t="s">
        <v>475</v>
      </c>
      <c r="G81" s="11" t="s">
        <v>476</v>
      </c>
      <c r="H81" s="12" t="s">
        <v>21</v>
      </c>
      <c r="I81" s="12" t="s">
        <v>21</v>
      </c>
      <c r="J81" s="12" t="s">
        <v>23</v>
      </c>
      <c r="K81" s="12" t="s">
        <v>23</v>
      </c>
      <c r="L81" s="12" t="s">
        <v>23</v>
      </c>
      <c r="M81" s="11" t="s">
        <v>43</v>
      </c>
      <c r="N81" s="11" t="s">
        <v>477</v>
      </c>
    </row>
    <row r="82" spans="1:14" x14ac:dyDescent="0.25">
      <c r="A82" s="8">
        <v>80</v>
      </c>
      <c r="B82" s="9" t="s">
        <v>420</v>
      </c>
      <c r="C82" s="10" t="s">
        <v>478</v>
      </c>
      <c r="D82" s="11" t="s">
        <v>479</v>
      </c>
      <c r="E82" s="11" t="s">
        <v>480</v>
      </c>
      <c r="F82" s="11" t="s">
        <v>481</v>
      </c>
      <c r="G82" s="11" t="s">
        <v>482</v>
      </c>
      <c r="H82" s="12" t="s">
        <v>21</v>
      </c>
      <c r="I82" s="12" t="s">
        <v>21</v>
      </c>
      <c r="J82" s="12" t="s">
        <v>23</v>
      </c>
      <c r="K82" s="12" t="s">
        <v>23</v>
      </c>
      <c r="L82" s="12" t="s">
        <v>23</v>
      </c>
      <c r="M82" s="11" t="s">
        <v>43</v>
      </c>
      <c r="N82" s="11" t="s">
        <v>37</v>
      </c>
    </row>
    <row r="83" spans="1:14" x14ac:dyDescent="0.25">
      <c r="A83" s="4">
        <v>81</v>
      </c>
      <c r="B83" s="4" t="s">
        <v>437</v>
      </c>
      <c r="C83" s="5" t="s">
        <v>483</v>
      </c>
      <c r="D83" s="6" t="s">
        <v>484</v>
      </c>
      <c r="E83" s="6" t="s">
        <v>485</v>
      </c>
      <c r="F83" s="6" t="s">
        <v>486</v>
      </c>
      <c r="G83" s="6" t="s">
        <v>487</v>
      </c>
      <c r="H83" s="7" t="s">
        <v>21</v>
      </c>
      <c r="I83" s="7" t="s">
        <v>21</v>
      </c>
      <c r="J83" s="7" t="s">
        <v>22</v>
      </c>
      <c r="K83" s="7" t="s">
        <v>23</v>
      </c>
      <c r="L83" s="7" t="s">
        <v>23</v>
      </c>
      <c r="M83" s="6" t="s">
        <v>63</v>
      </c>
      <c r="N83" s="6" t="s">
        <v>488</v>
      </c>
    </row>
    <row r="84" spans="1:14" x14ac:dyDescent="0.25">
      <c r="A84" s="4">
        <v>82</v>
      </c>
      <c r="B84" s="4" t="s">
        <v>437</v>
      </c>
      <c r="C84" s="5" t="s">
        <v>489</v>
      </c>
      <c r="D84" s="6" t="s">
        <v>490</v>
      </c>
      <c r="E84" s="6" t="s">
        <v>491</v>
      </c>
      <c r="F84" s="6" t="s">
        <v>492</v>
      </c>
      <c r="G84" s="6" t="s">
        <v>493</v>
      </c>
      <c r="H84" s="7" t="s">
        <v>21</v>
      </c>
      <c r="I84" s="7" t="s">
        <v>21</v>
      </c>
      <c r="J84" s="7" t="s">
        <v>23</v>
      </c>
      <c r="K84" s="7" t="s">
        <v>23</v>
      </c>
      <c r="L84" s="7" t="s">
        <v>23</v>
      </c>
      <c r="M84" s="6" t="s">
        <v>63</v>
      </c>
      <c r="N84" s="6" t="s">
        <v>494</v>
      </c>
    </row>
    <row r="85" spans="1:14" x14ac:dyDescent="0.25">
      <c r="A85" s="8">
        <v>83</v>
      </c>
      <c r="B85" s="9" t="s">
        <v>495</v>
      </c>
      <c r="C85" s="10" t="s">
        <v>496</v>
      </c>
      <c r="D85" s="11" t="s">
        <v>497</v>
      </c>
      <c r="E85" s="11" t="s">
        <v>498</v>
      </c>
      <c r="F85" s="11" t="s">
        <v>499</v>
      </c>
      <c r="G85" s="11" t="s">
        <v>331</v>
      </c>
      <c r="H85" s="12" t="s">
        <v>21</v>
      </c>
      <c r="I85" s="12" t="s">
        <v>21</v>
      </c>
      <c r="J85" s="12" t="s">
        <v>22</v>
      </c>
      <c r="K85" s="12" t="s">
        <v>23</v>
      </c>
      <c r="L85" s="12" t="s">
        <v>23</v>
      </c>
      <c r="M85" s="11" t="s">
        <v>43</v>
      </c>
      <c r="N85" s="11" t="s">
        <v>240</v>
      </c>
    </row>
    <row r="86" spans="1:14" x14ac:dyDescent="0.25">
      <c r="A86" s="8">
        <v>84</v>
      </c>
      <c r="B86" s="9" t="s">
        <v>495</v>
      </c>
      <c r="C86" s="10" t="s">
        <v>500</v>
      </c>
      <c r="D86" s="11" t="s">
        <v>501</v>
      </c>
      <c r="E86" s="11" t="s">
        <v>502</v>
      </c>
      <c r="F86" s="11" t="s">
        <v>503</v>
      </c>
      <c r="G86" s="11" t="s">
        <v>504</v>
      </c>
      <c r="H86" s="12" t="s">
        <v>21</v>
      </c>
      <c r="I86" s="12" t="s">
        <v>21</v>
      </c>
      <c r="J86" s="12" t="s">
        <v>22</v>
      </c>
      <c r="K86" s="12" t="s">
        <v>23</v>
      </c>
      <c r="L86" s="12" t="s">
        <v>23</v>
      </c>
      <c r="M86" s="11" t="s">
        <v>43</v>
      </c>
      <c r="N86" s="11" t="s">
        <v>240</v>
      </c>
    </row>
    <row r="87" spans="1:14" x14ac:dyDescent="0.25">
      <c r="A87" s="8">
        <v>85</v>
      </c>
      <c r="B87" s="9" t="s">
        <v>495</v>
      </c>
      <c r="C87" s="10" t="s">
        <v>505</v>
      </c>
      <c r="D87" s="11" t="s">
        <v>506</v>
      </c>
      <c r="E87" s="11" t="s">
        <v>507</v>
      </c>
      <c r="F87" s="11" t="s">
        <v>508</v>
      </c>
      <c r="G87" s="11" t="s">
        <v>509</v>
      </c>
      <c r="H87" s="12" t="s">
        <v>21</v>
      </c>
      <c r="I87" s="12" t="s">
        <v>21</v>
      </c>
      <c r="J87" s="12" t="s">
        <v>22</v>
      </c>
      <c r="K87" s="12" t="s">
        <v>23</v>
      </c>
      <c r="L87" s="12" t="s">
        <v>23</v>
      </c>
      <c r="M87" s="11" t="s">
        <v>63</v>
      </c>
      <c r="N87" s="11" t="s">
        <v>240</v>
      </c>
    </row>
    <row r="88" spans="1:14" x14ac:dyDescent="0.25">
      <c r="A88" s="4">
        <v>86</v>
      </c>
      <c r="B88" s="4" t="s">
        <v>510</v>
      </c>
      <c r="C88" s="5" t="s">
        <v>511</v>
      </c>
      <c r="D88" s="6" t="s">
        <v>512</v>
      </c>
      <c r="E88" s="6" t="s">
        <v>513</v>
      </c>
      <c r="F88" s="6" t="s">
        <v>514</v>
      </c>
      <c r="G88" s="6" t="s">
        <v>515</v>
      </c>
      <c r="H88" s="7" t="s">
        <v>21</v>
      </c>
      <c r="I88" s="7" t="s">
        <v>21</v>
      </c>
      <c r="J88" s="7" t="s">
        <v>23</v>
      </c>
      <c r="K88" s="7" t="s">
        <v>23</v>
      </c>
      <c r="L88" s="7" t="s">
        <v>23</v>
      </c>
      <c r="M88" s="6" t="s">
        <v>24</v>
      </c>
      <c r="N88" s="6" t="s">
        <v>516</v>
      </c>
    </row>
    <row r="89" spans="1:14" x14ac:dyDescent="0.25">
      <c r="A89" s="4">
        <v>87</v>
      </c>
      <c r="B89" s="4" t="s">
        <v>510</v>
      </c>
      <c r="C89" s="5" t="s">
        <v>517</v>
      </c>
      <c r="D89" s="6" t="s">
        <v>518</v>
      </c>
      <c r="E89" s="6" t="s">
        <v>519</v>
      </c>
      <c r="F89" s="6" t="s">
        <v>520</v>
      </c>
      <c r="G89" s="6" t="s">
        <v>521</v>
      </c>
      <c r="H89" s="7" t="s">
        <v>21</v>
      </c>
      <c r="I89" s="7" t="s">
        <v>21</v>
      </c>
      <c r="J89" s="7" t="s">
        <v>23</v>
      </c>
      <c r="K89" s="7" t="s">
        <v>23</v>
      </c>
      <c r="L89" s="7" t="s">
        <v>23</v>
      </c>
      <c r="M89" s="6" t="s">
        <v>43</v>
      </c>
      <c r="N89" s="6" t="s">
        <v>522</v>
      </c>
    </row>
    <row r="90" spans="1:14" x14ac:dyDescent="0.25">
      <c r="A90" s="4">
        <v>88</v>
      </c>
      <c r="B90" s="4" t="s">
        <v>510</v>
      </c>
      <c r="C90" s="5" t="s">
        <v>523</v>
      </c>
      <c r="D90" s="6" t="s">
        <v>524</v>
      </c>
      <c r="E90" s="6" t="s">
        <v>525</v>
      </c>
      <c r="F90" s="6" t="s">
        <v>526</v>
      </c>
      <c r="G90" s="6" t="s">
        <v>527</v>
      </c>
      <c r="H90" s="7" t="s">
        <v>21</v>
      </c>
      <c r="I90" s="7" t="s">
        <v>21</v>
      </c>
      <c r="J90" s="7" t="s">
        <v>23</v>
      </c>
      <c r="K90" s="7" t="s">
        <v>23</v>
      </c>
      <c r="L90" s="7" t="s">
        <v>23</v>
      </c>
      <c r="M90" s="6" t="s">
        <v>43</v>
      </c>
      <c r="N90" s="6" t="s">
        <v>528</v>
      </c>
    </row>
    <row r="91" spans="1:14" x14ac:dyDescent="0.25">
      <c r="A91" s="4">
        <v>89</v>
      </c>
      <c r="B91" s="4" t="s">
        <v>510</v>
      </c>
      <c r="C91" s="5" t="s">
        <v>529</v>
      </c>
      <c r="D91" s="6" t="s">
        <v>530</v>
      </c>
      <c r="E91" s="6" t="s">
        <v>531</v>
      </c>
      <c r="F91" s="6" t="s">
        <v>532</v>
      </c>
      <c r="G91" s="6" t="s">
        <v>533</v>
      </c>
      <c r="H91" s="7" t="s">
        <v>21</v>
      </c>
      <c r="I91" s="7" t="s">
        <v>21</v>
      </c>
      <c r="J91" s="7" t="s">
        <v>23</v>
      </c>
      <c r="K91" s="7" t="s">
        <v>23</v>
      </c>
      <c r="L91" s="7" t="s">
        <v>23</v>
      </c>
      <c r="M91" s="6" t="s">
        <v>63</v>
      </c>
      <c r="N91" s="6" t="s">
        <v>37</v>
      </c>
    </row>
    <row r="92" spans="1:14" x14ac:dyDescent="0.25">
      <c r="A92" s="4">
        <v>90</v>
      </c>
      <c r="B92" s="4" t="s">
        <v>510</v>
      </c>
      <c r="C92" s="5" t="s">
        <v>534</v>
      </c>
      <c r="D92" s="6" t="s">
        <v>535</v>
      </c>
      <c r="E92" s="6" t="s">
        <v>536</v>
      </c>
      <c r="F92" s="6" t="s">
        <v>537</v>
      </c>
      <c r="G92" s="6" t="s">
        <v>538</v>
      </c>
      <c r="H92" s="7" t="s">
        <v>21</v>
      </c>
      <c r="I92" s="7" t="s">
        <v>21</v>
      </c>
      <c r="J92" s="7" t="s">
        <v>23</v>
      </c>
      <c r="K92" s="7" t="s">
        <v>23</v>
      </c>
      <c r="L92" s="7" t="s">
        <v>23</v>
      </c>
      <c r="M92" s="6" t="s">
        <v>63</v>
      </c>
      <c r="N92" s="6" t="s">
        <v>37</v>
      </c>
    </row>
    <row r="93" spans="1:14" x14ac:dyDescent="0.25">
      <c r="A93" s="4">
        <v>91</v>
      </c>
      <c r="B93" s="4" t="s">
        <v>510</v>
      </c>
      <c r="C93" s="5" t="s">
        <v>539</v>
      </c>
      <c r="D93" s="6" t="s">
        <v>540</v>
      </c>
      <c r="E93" s="6" t="s">
        <v>541</v>
      </c>
      <c r="F93" s="6" t="s">
        <v>542</v>
      </c>
      <c r="G93" s="6" t="s">
        <v>543</v>
      </c>
      <c r="H93" s="7" t="s">
        <v>21</v>
      </c>
      <c r="I93" s="7" t="s">
        <v>21</v>
      </c>
      <c r="J93" s="7" t="s">
        <v>23</v>
      </c>
      <c r="K93" s="7" t="s">
        <v>23</v>
      </c>
      <c r="L93" s="7" t="s">
        <v>23</v>
      </c>
      <c r="M93" s="6" t="s">
        <v>63</v>
      </c>
      <c r="N93" s="6" t="s">
        <v>171</v>
      </c>
    </row>
    <row r="94" spans="1:14" x14ac:dyDescent="0.25">
      <c r="A94" s="4">
        <v>92</v>
      </c>
      <c r="B94" s="4" t="s">
        <v>510</v>
      </c>
      <c r="C94" s="5" t="s">
        <v>544</v>
      </c>
      <c r="D94" s="6" t="s">
        <v>545</v>
      </c>
      <c r="E94" s="6" t="s">
        <v>546</v>
      </c>
      <c r="F94" s="6" t="s">
        <v>547</v>
      </c>
      <c r="G94" s="6" t="s">
        <v>548</v>
      </c>
      <c r="H94" s="7" t="s">
        <v>21</v>
      </c>
      <c r="I94" s="7" t="s">
        <v>21</v>
      </c>
      <c r="J94" s="7" t="s">
        <v>23</v>
      </c>
      <c r="K94" s="7" t="s">
        <v>23</v>
      </c>
      <c r="L94" s="7" t="s">
        <v>23</v>
      </c>
      <c r="M94" s="6" t="s">
        <v>63</v>
      </c>
      <c r="N94" s="6" t="s">
        <v>37</v>
      </c>
    </row>
    <row r="95" spans="1:14" x14ac:dyDescent="0.25">
      <c r="A95" s="8">
        <v>93</v>
      </c>
      <c r="B95" s="9" t="s">
        <v>549</v>
      </c>
      <c r="C95" s="10" t="s">
        <v>550</v>
      </c>
      <c r="D95" s="11" t="s">
        <v>551</v>
      </c>
      <c r="E95" s="11" t="s">
        <v>552</v>
      </c>
      <c r="F95" s="11" t="s">
        <v>553</v>
      </c>
      <c r="G95" s="11" t="s">
        <v>554</v>
      </c>
      <c r="H95" s="12" t="s">
        <v>21</v>
      </c>
      <c r="I95" s="12" t="s">
        <v>21</v>
      </c>
      <c r="J95" s="12" t="s">
        <v>23</v>
      </c>
      <c r="K95" s="12" t="s">
        <v>23</v>
      </c>
      <c r="L95" s="12" t="s">
        <v>23</v>
      </c>
      <c r="M95" s="11" t="s">
        <v>43</v>
      </c>
      <c r="N95" s="11" t="s">
        <v>555</v>
      </c>
    </row>
    <row r="96" spans="1:14" x14ac:dyDescent="0.25">
      <c r="A96" s="8">
        <v>94</v>
      </c>
      <c r="B96" s="9" t="s">
        <v>549</v>
      </c>
      <c r="C96" s="10" t="s">
        <v>556</v>
      </c>
      <c r="D96" s="11" t="s">
        <v>557</v>
      </c>
      <c r="E96" s="11" t="s">
        <v>558</v>
      </c>
      <c r="F96" s="11" t="s">
        <v>559</v>
      </c>
      <c r="G96" s="11" t="s">
        <v>560</v>
      </c>
      <c r="H96" s="12" t="s">
        <v>23</v>
      </c>
      <c r="I96" s="12" t="s">
        <v>23</v>
      </c>
      <c r="J96" s="12" t="s">
        <v>23</v>
      </c>
      <c r="K96" s="12" t="s">
        <v>21</v>
      </c>
      <c r="L96" s="12" t="s">
        <v>23</v>
      </c>
      <c r="M96" s="11" t="s">
        <v>63</v>
      </c>
      <c r="N96" s="11" t="s">
        <v>561</v>
      </c>
    </row>
    <row r="97" spans="1:14" x14ac:dyDescent="0.25">
      <c r="A97" s="8">
        <v>95</v>
      </c>
      <c r="B97" s="9" t="s">
        <v>549</v>
      </c>
      <c r="C97" s="10" t="s">
        <v>562</v>
      </c>
      <c r="D97" s="11" t="s">
        <v>563</v>
      </c>
      <c r="E97" s="11" t="s">
        <v>564</v>
      </c>
      <c r="F97" s="11" t="s">
        <v>565</v>
      </c>
      <c r="G97" s="11" t="s">
        <v>566</v>
      </c>
      <c r="H97" s="12" t="s">
        <v>21</v>
      </c>
      <c r="I97" s="12" t="s">
        <v>21</v>
      </c>
      <c r="J97" s="12" t="s">
        <v>23</v>
      </c>
      <c r="K97" s="12" t="s">
        <v>23</v>
      </c>
      <c r="L97" s="12" t="s">
        <v>23</v>
      </c>
      <c r="M97" s="11" t="s">
        <v>63</v>
      </c>
      <c r="N97" s="11" t="s">
        <v>567</v>
      </c>
    </row>
    <row r="98" spans="1:14" x14ac:dyDescent="0.25">
      <c r="A98" s="8">
        <v>96</v>
      </c>
      <c r="B98" s="9" t="s">
        <v>549</v>
      </c>
      <c r="C98" s="10" t="s">
        <v>568</v>
      </c>
      <c r="D98" s="11" t="s">
        <v>569</v>
      </c>
      <c r="E98" s="11" t="s">
        <v>570</v>
      </c>
      <c r="F98" s="11" t="s">
        <v>571</v>
      </c>
      <c r="G98" s="11" t="s">
        <v>572</v>
      </c>
      <c r="H98" s="12" t="s">
        <v>21</v>
      </c>
      <c r="I98" s="12" t="s">
        <v>21</v>
      </c>
      <c r="J98" s="12" t="s">
        <v>23</v>
      </c>
      <c r="K98" s="12" t="s">
        <v>23</v>
      </c>
      <c r="L98" s="12" t="s">
        <v>23</v>
      </c>
      <c r="M98" s="11" t="s">
        <v>63</v>
      </c>
      <c r="N98" s="11" t="s">
        <v>573</v>
      </c>
    </row>
    <row r="99" spans="1:14" x14ac:dyDescent="0.25">
      <c r="A99" s="4">
        <v>97</v>
      </c>
      <c r="B99" s="4" t="s">
        <v>574</v>
      </c>
      <c r="C99" s="5" t="s">
        <v>575</v>
      </c>
      <c r="D99" s="6" t="s">
        <v>576</v>
      </c>
      <c r="E99" s="6" t="s">
        <v>577</v>
      </c>
      <c r="F99" s="6" t="s">
        <v>578</v>
      </c>
      <c r="G99" s="6" t="s">
        <v>579</v>
      </c>
      <c r="H99" s="7" t="s">
        <v>21</v>
      </c>
      <c r="I99" s="7" t="s">
        <v>21</v>
      </c>
      <c r="J99" s="7" t="s">
        <v>22</v>
      </c>
      <c r="K99" s="7" t="s">
        <v>23</v>
      </c>
      <c r="L99" s="7" t="s">
        <v>23</v>
      </c>
      <c r="M99" s="6" t="s">
        <v>43</v>
      </c>
      <c r="N99" s="6" t="s">
        <v>580</v>
      </c>
    </row>
    <row r="100" spans="1:14" x14ac:dyDescent="0.25">
      <c r="A100" s="4">
        <v>98</v>
      </c>
      <c r="B100" s="4" t="s">
        <v>574</v>
      </c>
      <c r="C100" s="5" t="s">
        <v>581</v>
      </c>
      <c r="D100" s="6" t="s">
        <v>582</v>
      </c>
      <c r="E100" s="6" t="s">
        <v>583</v>
      </c>
      <c r="F100" s="6" t="s">
        <v>584</v>
      </c>
      <c r="G100" s="6" t="s">
        <v>533</v>
      </c>
      <c r="H100" s="7" t="s">
        <v>21</v>
      </c>
      <c r="I100" s="7" t="s">
        <v>21</v>
      </c>
      <c r="J100" s="7" t="s">
        <v>22</v>
      </c>
      <c r="K100" s="7" t="s">
        <v>23</v>
      </c>
      <c r="L100" s="7" t="s">
        <v>23</v>
      </c>
      <c r="M100" s="6" t="s">
        <v>63</v>
      </c>
      <c r="N100" s="6" t="s">
        <v>585</v>
      </c>
    </row>
    <row r="101" spans="1:14" x14ac:dyDescent="0.25">
      <c r="A101" s="4">
        <v>99</v>
      </c>
      <c r="B101" s="4" t="s">
        <v>574</v>
      </c>
      <c r="C101" s="5" t="s">
        <v>586</v>
      </c>
      <c r="D101" s="6" t="s">
        <v>587</v>
      </c>
      <c r="E101" s="6" t="s">
        <v>588</v>
      </c>
      <c r="F101" s="6" t="s">
        <v>589</v>
      </c>
      <c r="G101" s="6" t="s">
        <v>590</v>
      </c>
      <c r="H101" s="7" t="s">
        <v>21</v>
      </c>
      <c r="I101" s="7" t="s">
        <v>21</v>
      </c>
      <c r="J101" s="7" t="s">
        <v>22</v>
      </c>
      <c r="K101" s="7" t="s">
        <v>23</v>
      </c>
      <c r="L101" s="7" t="s">
        <v>23</v>
      </c>
      <c r="M101" s="6" t="s">
        <v>63</v>
      </c>
      <c r="N101" s="6" t="s">
        <v>591</v>
      </c>
    </row>
    <row r="102" spans="1:14" x14ac:dyDescent="0.25">
      <c r="A102" s="4">
        <v>100</v>
      </c>
      <c r="B102" s="4" t="s">
        <v>574</v>
      </c>
      <c r="C102" s="5" t="s">
        <v>592</v>
      </c>
      <c r="D102" s="6" t="s">
        <v>593</v>
      </c>
      <c r="E102" s="6" t="s">
        <v>594</v>
      </c>
      <c r="F102" s="6" t="s">
        <v>595</v>
      </c>
      <c r="G102" s="6" t="s">
        <v>596</v>
      </c>
      <c r="H102" s="7" t="s">
        <v>21</v>
      </c>
      <c r="I102" s="7" t="s">
        <v>21</v>
      </c>
      <c r="J102" s="7" t="s">
        <v>23</v>
      </c>
      <c r="K102" s="7" t="s">
        <v>23</v>
      </c>
      <c r="L102" s="7" t="s">
        <v>23</v>
      </c>
      <c r="M102" s="6" t="s">
        <v>43</v>
      </c>
      <c r="N102" s="6" t="s">
        <v>597</v>
      </c>
    </row>
    <row r="103" spans="1:14" x14ac:dyDescent="0.25">
      <c r="A103" s="4">
        <v>101</v>
      </c>
      <c r="B103" s="4" t="s">
        <v>574</v>
      </c>
      <c r="C103" s="5" t="s">
        <v>598</v>
      </c>
      <c r="D103" s="6" t="s">
        <v>599</v>
      </c>
      <c r="E103" s="6" t="s">
        <v>600</v>
      </c>
      <c r="F103" s="6" t="s">
        <v>596</v>
      </c>
      <c r="G103" s="6" t="s">
        <v>596</v>
      </c>
      <c r="H103" s="7" t="s">
        <v>21</v>
      </c>
      <c r="I103" s="7" t="s">
        <v>21</v>
      </c>
      <c r="J103" s="7" t="s">
        <v>23</v>
      </c>
      <c r="K103" s="7" t="s">
        <v>23</v>
      </c>
      <c r="L103" s="7" t="s">
        <v>23</v>
      </c>
      <c r="M103" s="6" t="s">
        <v>43</v>
      </c>
      <c r="N103" s="6" t="s">
        <v>597</v>
      </c>
    </row>
    <row r="104" spans="1:14" x14ac:dyDescent="0.25">
      <c r="A104" s="4">
        <v>102</v>
      </c>
      <c r="B104" s="4" t="s">
        <v>574</v>
      </c>
      <c r="C104" s="5" t="s">
        <v>601</v>
      </c>
      <c r="D104" s="6" t="s">
        <v>602</v>
      </c>
      <c r="E104" s="6" t="s">
        <v>603</v>
      </c>
      <c r="F104" s="6" t="s">
        <v>604</v>
      </c>
      <c r="G104" s="6" t="s">
        <v>596</v>
      </c>
      <c r="H104" s="7" t="s">
        <v>21</v>
      </c>
      <c r="I104" s="7" t="s">
        <v>21</v>
      </c>
      <c r="J104" s="7" t="s">
        <v>22</v>
      </c>
      <c r="K104" s="7" t="s">
        <v>23</v>
      </c>
      <c r="L104" s="7" t="s">
        <v>23</v>
      </c>
      <c r="M104" s="6" t="s">
        <v>63</v>
      </c>
      <c r="N104" s="6" t="s">
        <v>605</v>
      </c>
    </row>
    <row r="105" spans="1:14" x14ac:dyDescent="0.25">
      <c r="A105" s="4">
        <v>103</v>
      </c>
      <c r="B105" s="4" t="s">
        <v>574</v>
      </c>
      <c r="C105" s="5" t="s">
        <v>606</v>
      </c>
      <c r="D105" s="6" t="s">
        <v>607</v>
      </c>
      <c r="E105" s="6" t="s">
        <v>608</v>
      </c>
      <c r="F105" s="6" t="s">
        <v>609</v>
      </c>
      <c r="G105" s="6" t="s">
        <v>610</v>
      </c>
      <c r="H105" s="7" t="s">
        <v>21</v>
      </c>
      <c r="I105" s="7" t="s">
        <v>21</v>
      </c>
      <c r="J105" s="7" t="s">
        <v>22</v>
      </c>
      <c r="K105" s="7" t="s">
        <v>23</v>
      </c>
      <c r="L105" s="7" t="s">
        <v>23</v>
      </c>
      <c r="M105" s="6" t="s">
        <v>63</v>
      </c>
      <c r="N105" s="6" t="s">
        <v>611</v>
      </c>
    </row>
    <row r="106" spans="1:14" x14ac:dyDescent="0.25">
      <c r="A106" s="4">
        <v>104</v>
      </c>
      <c r="B106" s="4" t="s">
        <v>574</v>
      </c>
      <c r="C106" s="5" t="s">
        <v>612</v>
      </c>
      <c r="D106" s="6" t="s">
        <v>613</v>
      </c>
      <c r="E106" s="6" t="s">
        <v>614</v>
      </c>
      <c r="F106" s="6" t="s">
        <v>615</v>
      </c>
      <c r="G106" s="6" t="s">
        <v>239</v>
      </c>
      <c r="H106" s="7" t="s">
        <v>21</v>
      </c>
      <c r="I106" s="7" t="s">
        <v>21</v>
      </c>
      <c r="J106" s="7" t="s">
        <v>23</v>
      </c>
      <c r="K106" s="7" t="s">
        <v>23</v>
      </c>
      <c r="L106" s="7" t="s">
        <v>23</v>
      </c>
      <c r="M106" s="6" t="s">
        <v>63</v>
      </c>
      <c r="N106" s="6" t="s">
        <v>37</v>
      </c>
    </row>
    <row r="107" spans="1:14" x14ac:dyDescent="0.25">
      <c r="A107" s="4">
        <v>105</v>
      </c>
      <c r="B107" s="4" t="s">
        <v>574</v>
      </c>
      <c r="C107" s="5" t="s">
        <v>616</v>
      </c>
      <c r="D107" s="6" t="s">
        <v>617</v>
      </c>
      <c r="E107" s="6" t="s">
        <v>618</v>
      </c>
      <c r="F107" s="6" t="s">
        <v>619</v>
      </c>
      <c r="G107" s="6" t="s">
        <v>620</v>
      </c>
      <c r="H107" s="7" t="s">
        <v>21</v>
      </c>
      <c r="I107" s="7" t="s">
        <v>21</v>
      </c>
      <c r="J107" s="7" t="s">
        <v>23</v>
      </c>
      <c r="K107" s="7" t="s">
        <v>23</v>
      </c>
      <c r="L107" s="7" t="s">
        <v>23</v>
      </c>
      <c r="M107" s="6" t="s">
        <v>43</v>
      </c>
      <c r="N107" s="6" t="s">
        <v>621</v>
      </c>
    </row>
    <row r="108" spans="1:14" x14ac:dyDescent="0.25">
      <c r="A108" s="4">
        <v>106</v>
      </c>
      <c r="B108" s="4" t="s">
        <v>574</v>
      </c>
      <c r="C108" s="5" t="s">
        <v>622</v>
      </c>
      <c r="D108" s="6" t="s">
        <v>623</v>
      </c>
      <c r="E108" s="6" t="s">
        <v>624</v>
      </c>
      <c r="F108" s="6" t="s">
        <v>625</v>
      </c>
      <c r="G108" s="6" t="s">
        <v>239</v>
      </c>
      <c r="H108" s="7" t="s">
        <v>21</v>
      </c>
      <c r="I108" s="7" t="s">
        <v>21</v>
      </c>
      <c r="J108" s="7" t="s">
        <v>23</v>
      </c>
      <c r="K108" s="7" t="s">
        <v>23</v>
      </c>
      <c r="L108" s="7" t="s">
        <v>23</v>
      </c>
      <c r="M108" s="6" t="s">
        <v>63</v>
      </c>
      <c r="N108" s="6" t="s">
        <v>37</v>
      </c>
    </row>
    <row r="109" spans="1:14" x14ac:dyDescent="0.25">
      <c r="A109" s="8">
        <v>107</v>
      </c>
      <c r="B109" s="9" t="s">
        <v>626</v>
      </c>
      <c r="C109" s="10" t="s">
        <v>627</v>
      </c>
      <c r="D109" s="11" t="s">
        <v>628</v>
      </c>
      <c r="E109" s="11" t="s">
        <v>629</v>
      </c>
      <c r="F109" s="11" t="s">
        <v>630</v>
      </c>
      <c r="G109" s="11" t="s">
        <v>631</v>
      </c>
      <c r="H109" s="12" t="s">
        <v>21</v>
      </c>
      <c r="I109" s="12" t="s">
        <v>21</v>
      </c>
      <c r="J109" s="12" t="s">
        <v>23</v>
      </c>
      <c r="K109" s="12" t="s">
        <v>23</v>
      </c>
      <c r="L109" s="12" t="s">
        <v>23</v>
      </c>
      <c r="M109" s="11" t="s">
        <v>24</v>
      </c>
      <c r="N109" s="11" t="s">
        <v>632</v>
      </c>
    </row>
    <row r="110" spans="1:14" x14ac:dyDescent="0.25">
      <c r="A110" s="8">
        <v>108</v>
      </c>
      <c r="B110" s="9" t="s">
        <v>626</v>
      </c>
      <c r="C110" s="10" t="s">
        <v>633</v>
      </c>
      <c r="D110" s="11" t="s">
        <v>634</v>
      </c>
      <c r="E110" s="11" t="s">
        <v>635</v>
      </c>
      <c r="F110" s="11" t="s">
        <v>636</v>
      </c>
      <c r="G110" s="11" t="s">
        <v>637</v>
      </c>
      <c r="H110" s="12" t="s">
        <v>21</v>
      </c>
      <c r="I110" s="12" t="s">
        <v>21</v>
      </c>
      <c r="J110" s="12" t="s">
        <v>23</v>
      </c>
      <c r="K110" s="12" t="s">
        <v>23</v>
      </c>
      <c r="L110" s="12" t="s">
        <v>23</v>
      </c>
      <c r="M110" s="11" t="s">
        <v>43</v>
      </c>
      <c r="N110" s="11" t="s">
        <v>37</v>
      </c>
    </row>
    <row r="111" spans="1:14" x14ac:dyDescent="0.25">
      <c r="A111" s="8">
        <v>109</v>
      </c>
      <c r="B111" s="9" t="s">
        <v>626</v>
      </c>
      <c r="C111" s="10" t="s">
        <v>638</v>
      </c>
      <c r="D111" s="11" t="s">
        <v>639</v>
      </c>
      <c r="E111" s="11" t="s">
        <v>640</v>
      </c>
      <c r="F111" s="11" t="s">
        <v>641</v>
      </c>
      <c r="G111" s="11" t="s">
        <v>642</v>
      </c>
      <c r="H111" s="12" t="s">
        <v>21</v>
      </c>
      <c r="I111" s="12" t="s">
        <v>21</v>
      </c>
      <c r="J111" s="12" t="s">
        <v>22</v>
      </c>
      <c r="K111" s="12" t="s">
        <v>23</v>
      </c>
      <c r="L111" s="12" t="s">
        <v>23</v>
      </c>
      <c r="M111" s="11" t="s">
        <v>24</v>
      </c>
      <c r="N111" s="11" t="s">
        <v>643</v>
      </c>
    </row>
    <row r="112" spans="1:14" x14ac:dyDescent="0.25">
      <c r="A112" s="8">
        <v>110</v>
      </c>
      <c r="B112" s="9" t="s">
        <v>626</v>
      </c>
      <c r="C112" s="10" t="s">
        <v>644</v>
      </c>
      <c r="D112" s="11" t="s">
        <v>645</v>
      </c>
      <c r="E112" s="11" t="s">
        <v>646</v>
      </c>
      <c r="F112" s="11" t="s">
        <v>647</v>
      </c>
      <c r="G112" s="11" t="s">
        <v>648</v>
      </c>
      <c r="H112" s="12" t="s">
        <v>21</v>
      </c>
      <c r="I112" s="12" t="s">
        <v>21</v>
      </c>
      <c r="J112" s="12" t="s">
        <v>23</v>
      </c>
      <c r="K112" s="12" t="s">
        <v>23</v>
      </c>
      <c r="L112" s="12" t="s">
        <v>23</v>
      </c>
      <c r="M112" s="11" t="s">
        <v>43</v>
      </c>
      <c r="N112" s="11" t="s">
        <v>37</v>
      </c>
    </row>
    <row r="113" spans="1:14" x14ac:dyDescent="0.25">
      <c r="A113" s="8">
        <v>111</v>
      </c>
      <c r="B113" s="9" t="s">
        <v>626</v>
      </c>
      <c r="C113" s="10" t="s">
        <v>649</v>
      </c>
      <c r="D113" s="11" t="s">
        <v>650</v>
      </c>
      <c r="E113" s="11" t="s">
        <v>651</v>
      </c>
      <c r="F113" s="11" t="s">
        <v>652</v>
      </c>
      <c r="G113" s="11" t="s">
        <v>653</v>
      </c>
      <c r="H113" s="12" t="s">
        <v>21</v>
      </c>
      <c r="I113" s="12" t="s">
        <v>21</v>
      </c>
      <c r="J113" s="12" t="s">
        <v>23</v>
      </c>
      <c r="K113" s="12" t="s">
        <v>23</v>
      </c>
      <c r="L113" s="12" t="s">
        <v>23</v>
      </c>
      <c r="M113" s="11" t="s">
        <v>43</v>
      </c>
      <c r="N113" s="11" t="s">
        <v>654</v>
      </c>
    </row>
    <row r="114" spans="1:14" x14ac:dyDescent="0.25">
      <c r="A114" s="8">
        <v>112</v>
      </c>
      <c r="B114" s="9" t="s">
        <v>626</v>
      </c>
      <c r="C114" s="10" t="s">
        <v>655</v>
      </c>
      <c r="D114" s="11" t="s">
        <v>656</v>
      </c>
      <c r="E114" s="11" t="s">
        <v>657</v>
      </c>
      <c r="F114" s="11" t="s">
        <v>658</v>
      </c>
      <c r="G114" s="11" t="s">
        <v>659</v>
      </c>
      <c r="H114" s="12" t="s">
        <v>21</v>
      </c>
      <c r="I114" s="12" t="s">
        <v>21</v>
      </c>
      <c r="J114" s="12" t="s">
        <v>23</v>
      </c>
      <c r="K114" s="12" t="s">
        <v>23</v>
      </c>
      <c r="L114" s="12" t="s">
        <v>23</v>
      </c>
      <c r="M114" s="11" t="s">
        <v>43</v>
      </c>
      <c r="N114" s="11" t="s">
        <v>660</v>
      </c>
    </row>
    <row r="115" spans="1:14" x14ac:dyDescent="0.25">
      <c r="A115" s="8">
        <v>113</v>
      </c>
      <c r="B115" s="9" t="s">
        <v>626</v>
      </c>
      <c r="C115" s="10" t="s">
        <v>661</v>
      </c>
      <c r="D115" s="11" t="s">
        <v>662</v>
      </c>
      <c r="E115" s="11" t="s">
        <v>663</v>
      </c>
      <c r="F115" s="11" t="s">
        <v>664</v>
      </c>
      <c r="G115" s="11" t="s">
        <v>665</v>
      </c>
      <c r="H115" s="12" t="s">
        <v>21</v>
      </c>
      <c r="I115" s="12" t="s">
        <v>21</v>
      </c>
      <c r="J115" s="12" t="s">
        <v>23</v>
      </c>
      <c r="K115" s="12" t="s">
        <v>23</v>
      </c>
      <c r="L115" s="12" t="s">
        <v>23</v>
      </c>
      <c r="M115" s="11" t="s">
        <v>63</v>
      </c>
      <c r="N115" s="11" t="s">
        <v>666</v>
      </c>
    </row>
    <row r="116" spans="1:14" x14ac:dyDescent="0.25">
      <c r="A116" s="4">
        <v>114</v>
      </c>
      <c r="B116" s="4" t="s">
        <v>667</v>
      </c>
      <c r="C116" s="5" t="s">
        <v>668</v>
      </c>
      <c r="D116" s="6" t="s">
        <v>669</v>
      </c>
      <c r="E116" s="6" t="s">
        <v>670</v>
      </c>
      <c r="F116" s="6" t="s">
        <v>671</v>
      </c>
      <c r="G116" s="6" t="s">
        <v>672</v>
      </c>
      <c r="H116" s="7" t="s">
        <v>21</v>
      </c>
      <c r="I116" s="7" t="s">
        <v>21</v>
      </c>
      <c r="J116" s="7" t="s">
        <v>22</v>
      </c>
      <c r="K116" s="7" t="s">
        <v>23</v>
      </c>
      <c r="L116" s="7" t="s">
        <v>23</v>
      </c>
      <c r="M116" s="6" t="s">
        <v>43</v>
      </c>
      <c r="N116" s="6" t="s">
        <v>673</v>
      </c>
    </row>
    <row r="117" spans="1:14" x14ac:dyDescent="0.25">
      <c r="A117" s="4">
        <v>115</v>
      </c>
      <c r="B117" s="4" t="s">
        <v>667</v>
      </c>
      <c r="C117" s="5" t="s">
        <v>674</v>
      </c>
      <c r="D117" s="6" t="s">
        <v>675</v>
      </c>
      <c r="E117" s="6" t="s">
        <v>676</v>
      </c>
      <c r="F117" s="6" t="s">
        <v>677</v>
      </c>
      <c r="G117" s="6" t="s">
        <v>678</v>
      </c>
      <c r="H117" s="7" t="s">
        <v>21</v>
      </c>
      <c r="I117" s="7" t="s">
        <v>21</v>
      </c>
      <c r="J117" s="7" t="s">
        <v>22</v>
      </c>
      <c r="K117" s="7" t="s">
        <v>23</v>
      </c>
      <c r="L117" s="7" t="s">
        <v>23</v>
      </c>
      <c r="M117" s="6" t="s">
        <v>63</v>
      </c>
      <c r="N117" s="6" t="s">
        <v>679</v>
      </c>
    </row>
    <row r="118" spans="1:14" x14ac:dyDescent="0.25">
      <c r="A118" s="4">
        <v>116</v>
      </c>
      <c r="B118" s="4" t="s">
        <v>667</v>
      </c>
      <c r="C118" s="5" t="s">
        <v>680</v>
      </c>
      <c r="D118" s="6" t="s">
        <v>681</v>
      </c>
      <c r="E118" s="6" t="s">
        <v>682</v>
      </c>
      <c r="F118" s="6" t="s">
        <v>683</v>
      </c>
      <c r="G118" s="6" t="s">
        <v>684</v>
      </c>
      <c r="H118" s="7" t="s">
        <v>22</v>
      </c>
      <c r="I118" s="7" t="s">
        <v>22</v>
      </c>
      <c r="J118" s="7" t="s">
        <v>23</v>
      </c>
      <c r="K118" s="7" t="s">
        <v>23</v>
      </c>
      <c r="L118" s="7" t="s">
        <v>23</v>
      </c>
      <c r="M118" s="6" t="s">
        <v>63</v>
      </c>
      <c r="N118" s="6" t="s">
        <v>685</v>
      </c>
    </row>
    <row r="119" spans="1:14" x14ac:dyDescent="0.25">
      <c r="A119" s="4">
        <v>117</v>
      </c>
      <c r="B119" s="4" t="s">
        <v>667</v>
      </c>
      <c r="C119" s="5" t="s">
        <v>686</v>
      </c>
      <c r="D119" s="6" t="s">
        <v>687</v>
      </c>
      <c r="E119" s="6" t="s">
        <v>688</v>
      </c>
      <c r="F119" s="6" t="s">
        <v>689</v>
      </c>
      <c r="G119" s="6" t="s">
        <v>690</v>
      </c>
      <c r="H119" s="7" t="s">
        <v>22</v>
      </c>
      <c r="I119" s="7" t="s">
        <v>22</v>
      </c>
      <c r="J119" s="7" t="s">
        <v>23</v>
      </c>
      <c r="K119" s="7" t="s">
        <v>23</v>
      </c>
      <c r="L119" s="7" t="s">
        <v>23</v>
      </c>
      <c r="M119" s="6" t="s">
        <v>63</v>
      </c>
      <c r="N119" s="6" t="s">
        <v>691</v>
      </c>
    </row>
    <row r="120" spans="1:14" x14ac:dyDescent="0.25">
      <c r="A120" s="4">
        <v>118</v>
      </c>
      <c r="B120" s="4" t="s">
        <v>667</v>
      </c>
      <c r="C120" s="5" t="s">
        <v>692</v>
      </c>
      <c r="D120" s="6" t="s">
        <v>693</v>
      </c>
      <c r="E120" s="6" t="s">
        <v>694</v>
      </c>
      <c r="F120" s="6" t="s">
        <v>695</v>
      </c>
      <c r="G120" s="6" t="s">
        <v>696</v>
      </c>
      <c r="H120" s="7" t="s">
        <v>21</v>
      </c>
      <c r="I120" s="7" t="s">
        <v>21</v>
      </c>
      <c r="J120" s="7" t="s">
        <v>23</v>
      </c>
      <c r="K120" s="7" t="s">
        <v>23</v>
      </c>
      <c r="L120" s="7" t="s">
        <v>23</v>
      </c>
      <c r="M120" s="6" t="s">
        <v>63</v>
      </c>
      <c r="N120" s="6" t="s">
        <v>37</v>
      </c>
    </row>
    <row r="121" spans="1:14" x14ac:dyDescent="0.25">
      <c r="A121" s="8">
        <v>119</v>
      </c>
      <c r="B121" s="9" t="s">
        <v>697</v>
      </c>
      <c r="C121" s="10" t="s">
        <v>698</v>
      </c>
      <c r="D121" s="11" t="s">
        <v>699</v>
      </c>
      <c r="E121" s="11" t="s">
        <v>700</v>
      </c>
      <c r="F121" s="11" t="s">
        <v>701</v>
      </c>
      <c r="G121" s="11" t="s">
        <v>702</v>
      </c>
      <c r="H121" s="12" t="s">
        <v>21</v>
      </c>
      <c r="I121" s="12" t="s">
        <v>21</v>
      </c>
      <c r="J121" s="12" t="s">
        <v>23</v>
      </c>
      <c r="K121" s="12" t="s">
        <v>21</v>
      </c>
      <c r="L121" s="12" t="s">
        <v>21</v>
      </c>
      <c r="M121" s="11" t="s">
        <v>43</v>
      </c>
      <c r="N121" s="11" t="s">
        <v>703</v>
      </c>
    </row>
    <row r="122" spans="1:14" x14ac:dyDescent="0.25">
      <c r="A122" s="8">
        <v>120</v>
      </c>
      <c r="B122" s="9" t="s">
        <v>697</v>
      </c>
      <c r="C122" s="10" t="s">
        <v>704</v>
      </c>
      <c r="D122" s="11" t="s">
        <v>705</v>
      </c>
      <c r="E122" s="11" t="s">
        <v>706</v>
      </c>
      <c r="F122" s="11" t="s">
        <v>707</v>
      </c>
      <c r="G122" s="11" t="s">
        <v>708</v>
      </c>
      <c r="H122" s="12" t="s">
        <v>21</v>
      </c>
      <c r="I122" s="12" t="s">
        <v>21</v>
      </c>
      <c r="J122" s="12" t="s">
        <v>23</v>
      </c>
      <c r="K122" s="12" t="s">
        <v>21</v>
      </c>
      <c r="L122" s="12" t="s">
        <v>21</v>
      </c>
      <c r="M122" s="11" t="s">
        <v>43</v>
      </c>
      <c r="N122" s="11" t="s">
        <v>709</v>
      </c>
    </row>
    <row r="123" spans="1:14" x14ac:dyDescent="0.25">
      <c r="A123" s="8">
        <v>121</v>
      </c>
      <c r="B123" s="9" t="s">
        <v>697</v>
      </c>
      <c r="C123" s="10" t="s">
        <v>710</v>
      </c>
      <c r="D123" s="11" t="s">
        <v>711</v>
      </c>
      <c r="E123" s="11" t="s">
        <v>712</v>
      </c>
      <c r="F123" s="11" t="s">
        <v>713</v>
      </c>
      <c r="G123" s="11" t="s">
        <v>714</v>
      </c>
      <c r="H123" s="12" t="s">
        <v>21</v>
      </c>
      <c r="I123" s="12" t="s">
        <v>21</v>
      </c>
      <c r="J123" s="12" t="s">
        <v>23</v>
      </c>
      <c r="K123" s="12" t="s">
        <v>21</v>
      </c>
      <c r="L123" s="12" t="s">
        <v>21</v>
      </c>
      <c r="M123" s="11" t="s">
        <v>43</v>
      </c>
      <c r="N123" s="11" t="s">
        <v>715</v>
      </c>
    </row>
    <row r="124" spans="1:14" x14ac:dyDescent="0.25">
      <c r="A124" s="8">
        <v>122</v>
      </c>
      <c r="B124" s="9" t="s">
        <v>697</v>
      </c>
      <c r="C124" s="10" t="s">
        <v>716</v>
      </c>
      <c r="D124" s="11" t="s">
        <v>717</v>
      </c>
      <c r="E124" s="11" t="s">
        <v>718</v>
      </c>
      <c r="F124" s="11" t="s">
        <v>719</v>
      </c>
      <c r="G124" s="11" t="s">
        <v>708</v>
      </c>
      <c r="H124" s="12" t="s">
        <v>21</v>
      </c>
      <c r="I124" s="12" t="s">
        <v>23</v>
      </c>
      <c r="J124" s="12" t="s">
        <v>23</v>
      </c>
      <c r="K124" s="12" t="s">
        <v>21</v>
      </c>
      <c r="L124" s="12" t="s">
        <v>21</v>
      </c>
      <c r="M124" s="11" t="s">
        <v>63</v>
      </c>
      <c r="N124" s="11" t="s">
        <v>720</v>
      </c>
    </row>
    <row r="125" spans="1:14" x14ac:dyDescent="0.25">
      <c r="A125" s="8">
        <v>123</v>
      </c>
      <c r="B125" s="9" t="s">
        <v>697</v>
      </c>
      <c r="C125" s="10" t="s">
        <v>721</v>
      </c>
      <c r="D125" s="11" t="s">
        <v>722</v>
      </c>
      <c r="E125" s="11" t="s">
        <v>723</v>
      </c>
      <c r="F125" s="11" t="s">
        <v>724</v>
      </c>
      <c r="G125" s="11" t="s">
        <v>708</v>
      </c>
      <c r="H125" s="12" t="s">
        <v>21</v>
      </c>
      <c r="I125" s="12" t="s">
        <v>21</v>
      </c>
      <c r="J125" s="12" t="s">
        <v>23</v>
      </c>
      <c r="K125" s="12" t="s">
        <v>21</v>
      </c>
      <c r="L125" s="12" t="s">
        <v>21</v>
      </c>
      <c r="M125" s="11" t="s">
        <v>63</v>
      </c>
      <c r="N125" s="11" t="s">
        <v>720</v>
      </c>
    </row>
    <row r="126" spans="1:14" x14ac:dyDescent="0.25">
      <c r="A126" s="8">
        <v>124</v>
      </c>
      <c r="B126" s="9" t="s">
        <v>697</v>
      </c>
      <c r="C126" s="10" t="s">
        <v>725</v>
      </c>
      <c r="D126" s="11" t="s">
        <v>726</v>
      </c>
      <c r="E126" s="11" t="s">
        <v>727</v>
      </c>
      <c r="F126" s="11" t="s">
        <v>728</v>
      </c>
      <c r="G126" s="11" t="s">
        <v>729</v>
      </c>
      <c r="H126" s="12" t="s">
        <v>21</v>
      </c>
      <c r="I126" s="12" t="s">
        <v>21</v>
      </c>
      <c r="J126" s="12" t="s">
        <v>23</v>
      </c>
      <c r="K126" s="12" t="s">
        <v>23</v>
      </c>
      <c r="L126" s="12" t="s">
        <v>23</v>
      </c>
      <c r="M126" s="11" t="s">
        <v>63</v>
      </c>
      <c r="N126" s="11" t="s">
        <v>37</v>
      </c>
    </row>
    <row r="127" spans="1:14" x14ac:dyDescent="0.25">
      <c r="A127" s="8">
        <v>125</v>
      </c>
      <c r="B127" s="9" t="s">
        <v>697</v>
      </c>
      <c r="C127" s="10" t="s">
        <v>730</v>
      </c>
      <c r="D127" s="11" t="s">
        <v>731</v>
      </c>
      <c r="E127" s="11" t="s">
        <v>732</v>
      </c>
      <c r="F127" s="11" t="s">
        <v>733</v>
      </c>
      <c r="G127" s="11" t="s">
        <v>734</v>
      </c>
      <c r="H127" s="12" t="s">
        <v>21</v>
      </c>
      <c r="I127" s="12" t="s">
        <v>21</v>
      </c>
      <c r="J127" s="12" t="s">
        <v>23</v>
      </c>
      <c r="K127" s="12" t="s">
        <v>23</v>
      </c>
      <c r="L127" s="12" t="s">
        <v>23</v>
      </c>
      <c r="M127" s="11" t="s">
        <v>63</v>
      </c>
      <c r="N127" s="11" t="s">
        <v>735</v>
      </c>
    </row>
    <row r="128" spans="1:14" x14ac:dyDescent="0.25">
      <c r="A128" s="4">
        <v>126</v>
      </c>
      <c r="B128" s="4" t="s">
        <v>736</v>
      </c>
      <c r="C128" s="5" t="s">
        <v>737</v>
      </c>
      <c r="D128" s="6" t="s">
        <v>738</v>
      </c>
      <c r="E128" s="6" t="s">
        <v>739</v>
      </c>
      <c r="F128" s="6" t="s">
        <v>740</v>
      </c>
      <c r="G128" s="6" t="s">
        <v>741</v>
      </c>
      <c r="H128" s="7" t="s">
        <v>23</v>
      </c>
      <c r="I128" s="7" t="s">
        <v>23</v>
      </c>
      <c r="J128" s="7" t="s">
        <v>23</v>
      </c>
      <c r="K128" s="7" t="s">
        <v>21</v>
      </c>
      <c r="L128" s="7" t="s">
        <v>23</v>
      </c>
      <c r="M128" s="6" t="s">
        <v>24</v>
      </c>
      <c r="N128" s="6" t="s">
        <v>742</v>
      </c>
    </row>
    <row r="129" spans="1:14" x14ac:dyDescent="0.25">
      <c r="A129" s="4">
        <v>127</v>
      </c>
      <c r="B129" s="4" t="s">
        <v>736</v>
      </c>
      <c r="C129" s="5" t="s">
        <v>743</v>
      </c>
      <c r="D129" s="6" t="s">
        <v>744</v>
      </c>
      <c r="E129" s="6" t="s">
        <v>745</v>
      </c>
      <c r="F129" s="6" t="s">
        <v>746</v>
      </c>
      <c r="G129" s="6" t="s">
        <v>747</v>
      </c>
      <c r="H129" s="7" t="s">
        <v>23</v>
      </c>
      <c r="I129" s="7" t="s">
        <v>23</v>
      </c>
      <c r="J129" s="7" t="s">
        <v>23</v>
      </c>
      <c r="K129" s="7" t="s">
        <v>21</v>
      </c>
      <c r="L129" s="7" t="s">
        <v>23</v>
      </c>
      <c r="M129" s="6" t="s">
        <v>43</v>
      </c>
      <c r="N129" s="6" t="s">
        <v>748</v>
      </c>
    </row>
    <row r="130" spans="1:14" x14ac:dyDescent="0.25">
      <c r="A130" s="8">
        <v>128</v>
      </c>
      <c r="B130" s="9" t="s">
        <v>749</v>
      </c>
      <c r="C130" s="10" t="s">
        <v>750</v>
      </c>
      <c r="D130" s="11" t="s">
        <v>751</v>
      </c>
      <c r="E130" s="11" t="s">
        <v>752</v>
      </c>
      <c r="F130" s="11" t="s">
        <v>753</v>
      </c>
      <c r="G130" s="11" t="s">
        <v>754</v>
      </c>
      <c r="H130" s="12" t="s">
        <v>23</v>
      </c>
      <c r="I130" s="12" t="s">
        <v>23</v>
      </c>
      <c r="J130" s="12" t="s">
        <v>23</v>
      </c>
      <c r="K130" s="12" t="s">
        <v>21</v>
      </c>
      <c r="L130" s="12" t="s">
        <v>23</v>
      </c>
      <c r="M130" s="11" t="s">
        <v>24</v>
      </c>
      <c r="N130" s="11" t="s">
        <v>755</v>
      </c>
    </row>
    <row r="131" spans="1:14" x14ac:dyDescent="0.25">
      <c r="A131" s="8">
        <v>129</v>
      </c>
      <c r="B131" s="9" t="s">
        <v>749</v>
      </c>
      <c r="C131" s="10" t="s">
        <v>756</v>
      </c>
      <c r="D131" s="11" t="s">
        <v>757</v>
      </c>
      <c r="E131" s="11" t="s">
        <v>758</v>
      </c>
      <c r="F131" s="11" t="s">
        <v>754</v>
      </c>
      <c r="G131" s="11" t="s">
        <v>754</v>
      </c>
      <c r="H131" s="12" t="s">
        <v>23</v>
      </c>
      <c r="I131" s="12" t="s">
        <v>23</v>
      </c>
      <c r="J131" s="12" t="s">
        <v>23</v>
      </c>
      <c r="K131" s="12" t="s">
        <v>21</v>
      </c>
      <c r="L131" s="12" t="s">
        <v>23</v>
      </c>
      <c r="M131" s="11" t="s">
        <v>24</v>
      </c>
      <c r="N131" s="11" t="s">
        <v>720</v>
      </c>
    </row>
    <row r="132" spans="1:14" x14ac:dyDescent="0.25">
      <c r="A132" s="8">
        <v>130</v>
      </c>
      <c r="B132" s="9" t="s">
        <v>749</v>
      </c>
      <c r="C132" s="10" t="s">
        <v>759</v>
      </c>
      <c r="D132" s="11" t="s">
        <v>760</v>
      </c>
      <c r="E132" s="11" t="s">
        <v>761</v>
      </c>
      <c r="F132" s="11" t="s">
        <v>754</v>
      </c>
      <c r="G132" s="11" t="s">
        <v>754</v>
      </c>
      <c r="H132" s="12" t="s">
        <v>23</v>
      </c>
      <c r="I132" s="12" t="s">
        <v>23</v>
      </c>
      <c r="J132" s="12" t="s">
        <v>23</v>
      </c>
      <c r="K132" s="12" t="s">
        <v>21</v>
      </c>
      <c r="L132" s="12" t="s">
        <v>23</v>
      </c>
      <c r="M132" s="11" t="s">
        <v>24</v>
      </c>
      <c r="N132" s="11" t="s">
        <v>720</v>
      </c>
    </row>
    <row r="133" spans="1:14" x14ac:dyDescent="0.25">
      <c r="A133" s="8">
        <v>131</v>
      </c>
      <c r="B133" s="9" t="s">
        <v>749</v>
      </c>
      <c r="C133" s="10" t="s">
        <v>762</v>
      </c>
      <c r="D133" s="11" t="s">
        <v>763</v>
      </c>
      <c r="E133" s="11" t="s">
        <v>764</v>
      </c>
      <c r="F133" s="11" t="s">
        <v>754</v>
      </c>
      <c r="G133" s="11" t="s">
        <v>754</v>
      </c>
      <c r="H133" s="12" t="s">
        <v>23</v>
      </c>
      <c r="I133" s="12" t="s">
        <v>23</v>
      </c>
      <c r="J133" s="12" t="s">
        <v>23</v>
      </c>
      <c r="K133" s="12" t="s">
        <v>21</v>
      </c>
      <c r="L133" s="12" t="s">
        <v>23</v>
      </c>
      <c r="M133" s="11" t="s">
        <v>43</v>
      </c>
      <c r="N133" s="11" t="s">
        <v>720</v>
      </c>
    </row>
    <row r="134" spans="1:14" x14ac:dyDescent="0.25">
      <c r="A134" s="8">
        <v>132</v>
      </c>
      <c r="B134" s="9" t="s">
        <v>749</v>
      </c>
      <c r="C134" s="10" t="s">
        <v>765</v>
      </c>
      <c r="D134" s="11" t="s">
        <v>766</v>
      </c>
      <c r="E134" s="11" t="s">
        <v>767</v>
      </c>
      <c r="F134" s="11" t="s">
        <v>768</v>
      </c>
      <c r="G134" s="11" t="s">
        <v>769</v>
      </c>
      <c r="H134" s="12" t="s">
        <v>23</v>
      </c>
      <c r="I134" s="12" t="s">
        <v>23</v>
      </c>
      <c r="J134" s="12" t="s">
        <v>23</v>
      </c>
      <c r="K134" s="12" t="s">
        <v>21</v>
      </c>
      <c r="L134" s="12" t="s">
        <v>23</v>
      </c>
      <c r="M134" s="11" t="s">
        <v>43</v>
      </c>
      <c r="N134" s="11" t="s">
        <v>770</v>
      </c>
    </row>
    <row r="135" spans="1:14" x14ac:dyDescent="0.25">
      <c r="A135" s="8">
        <v>133</v>
      </c>
      <c r="B135" s="9" t="s">
        <v>749</v>
      </c>
      <c r="C135" s="10" t="s">
        <v>771</v>
      </c>
      <c r="D135" s="11" t="s">
        <v>772</v>
      </c>
      <c r="E135" s="11" t="s">
        <v>773</v>
      </c>
      <c r="F135" s="11" t="s">
        <v>774</v>
      </c>
      <c r="G135" s="11" t="s">
        <v>775</v>
      </c>
      <c r="H135" s="12" t="s">
        <v>23</v>
      </c>
      <c r="I135" s="12" t="s">
        <v>23</v>
      </c>
      <c r="J135" s="12" t="s">
        <v>23</v>
      </c>
      <c r="K135" s="12" t="s">
        <v>21</v>
      </c>
      <c r="L135" s="12" t="s">
        <v>23</v>
      </c>
      <c r="M135" s="11" t="s">
        <v>63</v>
      </c>
      <c r="N135" s="11" t="s">
        <v>776</v>
      </c>
    </row>
    <row r="136" spans="1:14" x14ac:dyDescent="0.25">
      <c r="A136" s="8">
        <v>134</v>
      </c>
      <c r="B136" s="9" t="s">
        <v>749</v>
      </c>
      <c r="C136" s="10" t="s">
        <v>777</v>
      </c>
      <c r="D136" s="11" t="s">
        <v>778</v>
      </c>
      <c r="E136" s="11" t="s">
        <v>779</v>
      </c>
      <c r="F136" s="11" t="s">
        <v>780</v>
      </c>
      <c r="G136" s="11" t="s">
        <v>781</v>
      </c>
      <c r="H136" s="12" t="s">
        <v>23</v>
      </c>
      <c r="I136" s="12" t="s">
        <v>23</v>
      </c>
      <c r="J136" s="12" t="s">
        <v>23</v>
      </c>
      <c r="K136" s="12" t="s">
        <v>21</v>
      </c>
      <c r="L136" s="12" t="s">
        <v>23</v>
      </c>
      <c r="M136" s="11" t="s">
        <v>63</v>
      </c>
      <c r="N136" s="11" t="s">
        <v>720</v>
      </c>
    </row>
    <row r="137" spans="1:14" x14ac:dyDescent="0.25">
      <c r="A137" s="8">
        <v>135</v>
      </c>
      <c r="B137" s="9" t="s">
        <v>749</v>
      </c>
      <c r="C137" s="10" t="s">
        <v>782</v>
      </c>
      <c r="D137" s="11" t="s">
        <v>783</v>
      </c>
      <c r="E137" s="11" t="s">
        <v>784</v>
      </c>
      <c r="F137" s="11" t="s">
        <v>785</v>
      </c>
      <c r="G137" s="11" t="s">
        <v>786</v>
      </c>
      <c r="H137" s="12" t="s">
        <v>23</v>
      </c>
      <c r="I137" s="12" t="s">
        <v>23</v>
      </c>
      <c r="J137" s="12" t="s">
        <v>23</v>
      </c>
      <c r="K137" s="12" t="s">
        <v>21</v>
      </c>
      <c r="L137" s="12" t="s">
        <v>23</v>
      </c>
      <c r="M137" s="11" t="s">
        <v>63</v>
      </c>
      <c r="N137" s="11" t="s">
        <v>787</v>
      </c>
    </row>
    <row r="138" spans="1:14" x14ac:dyDescent="0.25">
      <c r="A138" s="4">
        <v>136</v>
      </c>
      <c r="B138" s="4" t="s">
        <v>788</v>
      </c>
      <c r="C138" s="5" t="s">
        <v>789</v>
      </c>
      <c r="D138" s="6" t="s">
        <v>790</v>
      </c>
      <c r="E138" s="6" t="s">
        <v>791</v>
      </c>
      <c r="F138" s="6" t="s">
        <v>792</v>
      </c>
      <c r="G138" s="6" t="s">
        <v>793</v>
      </c>
      <c r="H138" s="7" t="s">
        <v>23</v>
      </c>
      <c r="I138" s="7" t="s">
        <v>23</v>
      </c>
      <c r="J138" s="7" t="s">
        <v>23</v>
      </c>
      <c r="K138" s="7" t="s">
        <v>21</v>
      </c>
      <c r="L138" s="7" t="s">
        <v>23</v>
      </c>
      <c r="M138" s="6" t="s">
        <v>24</v>
      </c>
      <c r="N138" s="6" t="s">
        <v>794</v>
      </c>
    </row>
    <row r="139" spans="1:14" x14ac:dyDescent="0.25">
      <c r="A139" s="4">
        <v>137</v>
      </c>
      <c r="B139" s="4" t="s">
        <v>788</v>
      </c>
      <c r="C139" s="5" t="s">
        <v>795</v>
      </c>
      <c r="D139" s="6" t="s">
        <v>796</v>
      </c>
      <c r="E139" s="6" t="s">
        <v>797</v>
      </c>
      <c r="F139" s="6" t="s">
        <v>798</v>
      </c>
      <c r="G139" s="6" t="s">
        <v>799</v>
      </c>
      <c r="H139" s="7" t="s">
        <v>23</v>
      </c>
      <c r="I139" s="7" t="s">
        <v>23</v>
      </c>
      <c r="J139" s="7" t="s">
        <v>23</v>
      </c>
      <c r="K139" s="7" t="s">
        <v>21</v>
      </c>
      <c r="L139" s="7" t="s">
        <v>23</v>
      </c>
      <c r="M139" s="6" t="s">
        <v>43</v>
      </c>
      <c r="N139" s="6" t="s">
        <v>720</v>
      </c>
    </row>
    <row r="140" spans="1:14" x14ac:dyDescent="0.25">
      <c r="A140" s="4">
        <v>138</v>
      </c>
      <c r="B140" s="4" t="s">
        <v>788</v>
      </c>
      <c r="C140" s="5" t="s">
        <v>800</v>
      </c>
      <c r="D140" s="6" t="s">
        <v>801</v>
      </c>
      <c r="E140" s="6" t="s">
        <v>802</v>
      </c>
      <c r="F140" s="6" t="s">
        <v>803</v>
      </c>
      <c r="G140" s="6" t="s">
        <v>804</v>
      </c>
      <c r="H140" s="7" t="s">
        <v>23</v>
      </c>
      <c r="I140" s="7" t="s">
        <v>23</v>
      </c>
      <c r="J140" s="7" t="s">
        <v>23</v>
      </c>
      <c r="K140" s="7" t="s">
        <v>21</v>
      </c>
      <c r="L140" s="7" t="s">
        <v>23</v>
      </c>
      <c r="M140" s="6" t="s">
        <v>63</v>
      </c>
      <c r="N140" s="6" t="s">
        <v>805</v>
      </c>
    </row>
    <row r="141" spans="1:14" x14ac:dyDescent="0.25">
      <c r="A141" s="4">
        <v>139</v>
      </c>
      <c r="B141" s="4" t="s">
        <v>788</v>
      </c>
      <c r="C141" s="5" t="s">
        <v>806</v>
      </c>
      <c r="D141" s="6" t="s">
        <v>545</v>
      </c>
      <c r="E141" s="6" t="s">
        <v>807</v>
      </c>
      <c r="F141" s="6" t="s">
        <v>808</v>
      </c>
      <c r="G141" s="6" t="s">
        <v>808</v>
      </c>
      <c r="H141" s="7" t="s">
        <v>23</v>
      </c>
      <c r="I141" s="7" t="s">
        <v>23</v>
      </c>
      <c r="J141" s="7" t="s">
        <v>23</v>
      </c>
      <c r="K141" s="7" t="s">
        <v>21</v>
      </c>
      <c r="L141" s="7" t="s">
        <v>23</v>
      </c>
      <c r="M141" s="6" t="s">
        <v>63</v>
      </c>
      <c r="N141" s="6" t="s">
        <v>720</v>
      </c>
    </row>
    <row r="142" spans="1:14" x14ac:dyDescent="0.25">
      <c r="A142" s="8">
        <v>140</v>
      </c>
      <c r="B142" s="9" t="s">
        <v>809</v>
      </c>
      <c r="C142" s="10" t="s">
        <v>810</v>
      </c>
      <c r="D142" s="11" t="s">
        <v>811</v>
      </c>
      <c r="E142" s="11" t="s">
        <v>812</v>
      </c>
      <c r="F142" s="11" t="s">
        <v>813</v>
      </c>
      <c r="G142" s="11" t="s">
        <v>814</v>
      </c>
      <c r="H142" s="12" t="s">
        <v>23</v>
      </c>
      <c r="I142" s="12" t="s">
        <v>23</v>
      </c>
      <c r="J142" s="12" t="s">
        <v>23</v>
      </c>
      <c r="K142" s="12" t="s">
        <v>21</v>
      </c>
      <c r="L142" s="12" t="s">
        <v>21</v>
      </c>
      <c r="M142" s="11" t="s">
        <v>24</v>
      </c>
      <c r="N142" s="11" t="s">
        <v>715</v>
      </c>
    </row>
    <row r="143" spans="1:14" x14ac:dyDescent="0.25">
      <c r="A143" s="8">
        <v>141</v>
      </c>
      <c r="B143" s="9" t="s">
        <v>809</v>
      </c>
      <c r="C143" s="10" t="s">
        <v>815</v>
      </c>
      <c r="D143" s="11" t="s">
        <v>816</v>
      </c>
      <c r="E143" s="11" t="s">
        <v>817</v>
      </c>
      <c r="F143" s="11" t="s">
        <v>818</v>
      </c>
      <c r="G143" s="11" t="s">
        <v>819</v>
      </c>
      <c r="H143" s="12" t="s">
        <v>23</v>
      </c>
      <c r="I143" s="12" t="s">
        <v>23</v>
      </c>
      <c r="J143" s="12" t="s">
        <v>23</v>
      </c>
      <c r="K143" s="12" t="s">
        <v>21</v>
      </c>
      <c r="L143" s="12" t="s">
        <v>21</v>
      </c>
      <c r="M143" s="11" t="s">
        <v>24</v>
      </c>
      <c r="N143" s="11" t="s">
        <v>820</v>
      </c>
    </row>
    <row r="144" spans="1:14" x14ac:dyDescent="0.25">
      <c r="A144" s="8">
        <v>142</v>
      </c>
      <c r="B144" s="9" t="s">
        <v>809</v>
      </c>
      <c r="C144" s="10" t="s">
        <v>821</v>
      </c>
      <c r="D144" s="11" t="s">
        <v>822</v>
      </c>
      <c r="E144" s="11" t="s">
        <v>823</v>
      </c>
      <c r="F144" s="11" t="s">
        <v>824</v>
      </c>
      <c r="G144" s="11" t="s">
        <v>239</v>
      </c>
      <c r="H144" s="12" t="s">
        <v>23</v>
      </c>
      <c r="I144" s="12" t="s">
        <v>23</v>
      </c>
      <c r="J144" s="12" t="s">
        <v>23</v>
      </c>
      <c r="K144" s="12" t="s">
        <v>21</v>
      </c>
      <c r="L144" s="12" t="s">
        <v>21</v>
      </c>
      <c r="M144" s="11" t="s">
        <v>43</v>
      </c>
      <c r="N144" s="11" t="s">
        <v>825</v>
      </c>
    </row>
    <row r="145" spans="1:14" x14ac:dyDescent="0.25">
      <c r="A145" s="8">
        <v>143</v>
      </c>
      <c r="B145" s="9" t="s">
        <v>809</v>
      </c>
      <c r="C145" s="10" t="s">
        <v>826</v>
      </c>
      <c r="D145" s="11" t="s">
        <v>827</v>
      </c>
      <c r="E145" s="11" t="s">
        <v>828</v>
      </c>
      <c r="F145" s="11" t="s">
        <v>829</v>
      </c>
      <c r="G145" s="11" t="s">
        <v>830</v>
      </c>
      <c r="H145" s="12" t="s">
        <v>23</v>
      </c>
      <c r="I145" s="12" t="s">
        <v>23</v>
      </c>
      <c r="J145" s="12" t="s">
        <v>23</v>
      </c>
      <c r="K145" s="12" t="s">
        <v>21</v>
      </c>
      <c r="L145" s="12" t="s">
        <v>23</v>
      </c>
      <c r="M145" s="11" t="s">
        <v>63</v>
      </c>
      <c r="N145" s="11" t="s">
        <v>831</v>
      </c>
    </row>
    <row r="146" spans="1:14" x14ac:dyDescent="0.25">
      <c r="A146" s="8">
        <v>144</v>
      </c>
      <c r="B146" s="9" t="s">
        <v>809</v>
      </c>
      <c r="C146" s="10" t="s">
        <v>832</v>
      </c>
      <c r="D146" s="11" t="s">
        <v>833</v>
      </c>
      <c r="E146" s="11" t="s">
        <v>834</v>
      </c>
      <c r="F146" s="11" t="s">
        <v>835</v>
      </c>
      <c r="G146" s="11" t="s">
        <v>836</v>
      </c>
      <c r="H146" s="12" t="s">
        <v>23</v>
      </c>
      <c r="I146" s="12" t="s">
        <v>23</v>
      </c>
      <c r="J146" s="12" t="s">
        <v>23</v>
      </c>
      <c r="K146" s="12" t="s">
        <v>21</v>
      </c>
      <c r="L146" s="12" t="s">
        <v>23</v>
      </c>
      <c r="M146" s="11" t="s">
        <v>63</v>
      </c>
      <c r="N146" s="11" t="s">
        <v>837</v>
      </c>
    </row>
    <row r="147" spans="1:14" x14ac:dyDescent="0.25">
      <c r="A147" s="8">
        <v>145</v>
      </c>
      <c r="B147" s="9" t="s">
        <v>809</v>
      </c>
      <c r="C147" s="10" t="s">
        <v>838</v>
      </c>
      <c r="D147" s="11" t="s">
        <v>839</v>
      </c>
      <c r="E147" s="11" t="s">
        <v>840</v>
      </c>
      <c r="F147" s="11" t="s">
        <v>841</v>
      </c>
      <c r="G147" s="11" t="s">
        <v>842</v>
      </c>
      <c r="H147" s="12" t="s">
        <v>21</v>
      </c>
      <c r="I147" s="12" t="s">
        <v>23</v>
      </c>
      <c r="J147" s="12" t="s">
        <v>23</v>
      </c>
      <c r="K147" s="12" t="s">
        <v>21</v>
      </c>
      <c r="L147" s="12" t="s">
        <v>21</v>
      </c>
      <c r="M147" s="11" t="s">
        <v>43</v>
      </c>
      <c r="N147" s="11" t="s">
        <v>843</v>
      </c>
    </row>
    <row r="148" spans="1:14" x14ac:dyDescent="0.25">
      <c r="A148" s="8">
        <v>146</v>
      </c>
      <c r="B148" s="9" t="s">
        <v>809</v>
      </c>
      <c r="C148" s="10" t="s">
        <v>844</v>
      </c>
      <c r="D148" s="11" t="s">
        <v>845</v>
      </c>
      <c r="E148" s="11" t="s">
        <v>846</v>
      </c>
      <c r="F148" s="11" t="s">
        <v>847</v>
      </c>
      <c r="G148" s="11" t="s">
        <v>848</v>
      </c>
      <c r="H148" s="12" t="s">
        <v>23</v>
      </c>
      <c r="I148" s="12" t="s">
        <v>23</v>
      </c>
      <c r="J148" s="12" t="s">
        <v>23</v>
      </c>
      <c r="K148" s="12" t="s">
        <v>21</v>
      </c>
      <c r="L148" s="12" t="s">
        <v>23</v>
      </c>
      <c r="M148" s="11" t="s">
        <v>63</v>
      </c>
      <c r="N148" s="11" t="s">
        <v>849</v>
      </c>
    </row>
    <row r="149" spans="1:14" x14ac:dyDescent="0.25">
      <c r="A149" s="8">
        <v>147</v>
      </c>
      <c r="B149" s="9" t="s">
        <v>809</v>
      </c>
      <c r="C149" s="10" t="s">
        <v>850</v>
      </c>
      <c r="D149" s="11" t="s">
        <v>851</v>
      </c>
      <c r="E149" s="11" t="s">
        <v>852</v>
      </c>
      <c r="F149" s="11" t="s">
        <v>853</v>
      </c>
      <c r="G149" s="11" t="s">
        <v>854</v>
      </c>
      <c r="H149" s="12" t="s">
        <v>21</v>
      </c>
      <c r="I149" s="12" t="s">
        <v>23</v>
      </c>
      <c r="J149" s="12" t="s">
        <v>23</v>
      </c>
      <c r="K149" s="12" t="s">
        <v>21</v>
      </c>
      <c r="L149" s="12" t="s">
        <v>21</v>
      </c>
      <c r="M149" s="11" t="s">
        <v>63</v>
      </c>
      <c r="N149" s="11" t="s">
        <v>720</v>
      </c>
    </row>
    <row r="150" spans="1:14" x14ac:dyDescent="0.25">
      <c r="A150" s="8">
        <v>148</v>
      </c>
      <c r="B150" s="9" t="s">
        <v>809</v>
      </c>
      <c r="C150" s="10" t="s">
        <v>855</v>
      </c>
      <c r="D150" s="11" t="s">
        <v>856</v>
      </c>
      <c r="E150" s="11" t="s">
        <v>857</v>
      </c>
      <c r="F150" s="11" t="s">
        <v>858</v>
      </c>
      <c r="G150" s="11" t="s">
        <v>859</v>
      </c>
      <c r="H150" s="12" t="s">
        <v>21</v>
      </c>
      <c r="I150" s="12" t="s">
        <v>23</v>
      </c>
      <c r="J150" s="12" t="s">
        <v>23</v>
      </c>
      <c r="K150" s="12" t="s">
        <v>21</v>
      </c>
      <c r="L150" s="12" t="s">
        <v>23</v>
      </c>
      <c r="M150" s="11" t="s">
        <v>63</v>
      </c>
      <c r="N150" s="11" t="s">
        <v>720</v>
      </c>
    </row>
    <row r="151" spans="1:14" x14ac:dyDescent="0.25">
      <c r="A151" s="4">
        <v>149</v>
      </c>
      <c r="B151" s="4" t="s">
        <v>860</v>
      </c>
      <c r="C151" s="5" t="s">
        <v>861</v>
      </c>
      <c r="D151" s="6" t="s">
        <v>862</v>
      </c>
      <c r="E151" s="6" t="s">
        <v>863</v>
      </c>
      <c r="F151" s="6" t="s">
        <v>864</v>
      </c>
      <c r="G151" s="6" t="s">
        <v>786</v>
      </c>
      <c r="H151" s="7" t="s">
        <v>23</v>
      </c>
      <c r="I151" s="7" t="s">
        <v>23</v>
      </c>
      <c r="J151" s="7" t="s">
        <v>23</v>
      </c>
      <c r="K151" s="7" t="s">
        <v>21</v>
      </c>
      <c r="L151" s="7" t="s">
        <v>23</v>
      </c>
      <c r="M151" s="6" t="s">
        <v>43</v>
      </c>
      <c r="N151" s="6" t="s">
        <v>720</v>
      </c>
    </row>
    <row r="152" spans="1:14" x14ac:dyDescent="0.25">
      <c r="A152" s="4">
        <v>150</v>
      </c>
      <c r="B152" s="4" t="s">
        <v>860</v>
      </c>
      <c r="C152" s="5" t="s">
        <v>865</v>
      </c>
      <c r="D152" s="6" t="s">
        <v>866</v>
      </c>
      <c r="E152" s="6" t="s">
        <v>867</v>
      </c>
      <c r="F152" s="6" t="s">
        <v>786</v>
      </c>
      <c r="G152" s="6" t="s">
        <v>786</v>
      </c>
      <c r="H152" s="7" t="s">
        <v>23</v>
      </c>
      <c r="I152" s="7" t="s">
        <v>23</v>
      </c>
      <c r="J152" s="7" t="s">
        <v>23</v>
      </c>
      <c r="K152" s="7" t="s">
        <v>21</v>
      </c>
      <c r="L152" s="7" t="s">
        <v>23</v>
      </c>
      <c r="M152" s="6" t="s">
        <v>63</v>
      </c>
      <c r="N152" s="6" t="s">
        <v>720</v>
      </c>
    </row>
    <row r="153" spans="1:14" x14ac:dyDescent="0.25">
      <c r="A153" s="4">
        <v>151</v>
      </c>
      <c r="B153" s="4" t="s">
        <v>860</v>
      </c>
      <c r="C153" s="5" t="s">
        <v>868</v>
      </c>
      <c r="D153" s="6" t="s">
        <v>869</v>
      </c>
      <c r="E153" s="6" t="s">
        <v>870</v>
      </c>
      <c r="F153" s="6" t="s">
        <v>871</v>
      </c>
      <c r="G153" s="6" t="s">
        <v>872</v>
      </c>
      <c r="H153" s="7" t="s">
        <v>23</v>
      </c>
      <c r="I153" s="7" t="s">
        <v>23</v>
      </c>
      <c r="J153" s="7" t="s">
        <v>23</v>
      </c>
      <c r="K153" s="7" t="s">
        <v>21</v>
      </c>
      <c r="L153" s="7" t="s">
        <v>23</v>
      </c>
      <c r="M153" s="6" t="s">
        <v>43</v>
      </c>
      <c r="N153" s="6" t="s">
        <v>720</v>
      </c>
    </row>
    <row r="154" spans="1:14" x14ac:dyDescent="0.25">
      <c r="A154" s="4">
        <v>152</v>
      </c>
      <c r="B154" s="4" t="s">
        <v>860</v>
      </c>
      <c r="C154" s="5" t="s">
        <v>873</v>
      </c>
      <c r="D154" s="6" t="s">
        <v>874</v>
      </c>
      <c r="E154" s="6" t="s">
        <v>875</v>
      </c>
      <c r="F154" s="6" t="s">
        <v>876</v>
      </c>
      <c r="G154" s="6" t="s">
        <v>804</v>
      </c>
      <c r="H154" s="7" t="s">
        <v>21</v>
      </c>
      <c r="I154" s="7" t="s">
        <v>23</v>
      </c>
      <c r="J154" s="7" t="s">
        <v>23</v>
      </c>
      <c r="K154" s="7" t="s">
        <v>21</v>
      </c>
      <c r="L154" s="7" t="s">
        <v>23</v>
      </c>
      <c r="M154" s="6" t="s">
        <v>63</v>
      </c>
      <c r="N154" s="6" t="s">
        <v>877</v>
      </c>
    </row>
    <row r="155" spans="1:14" x14ac:dyDescent="0.25">
      <c r="A155" s="4">
        <v>153</v>
      </c>
      <c r="B155" s="4" t="s">
        <v>860</v>
      </c>
      <c r="C155" s="5" t="s">
        <v>878</v>
      </c>
      <c r="D155" s="6" t="s">
        <v>879</v>
      </c>
      <c r="E155" s="6" t="s">
        <v>880</v>
      </c>
      <c r="F155" s="6" t="s">
        <v>881</v>
      </c>
      <c r="G155" s="6" t="s">
        <v>239</v>
      </c>
      <c r="H155" s="7" t="s">
        <v>21</v>
      </c>
      <c r="I155" s="7" t="s">
        <v>23</v>
      </c>
      <c r="J155" s="7" t="s">
        <v>23</v>
      </c>
      <c r="K155" s="7" t="s">
        <v>21</v>
      </c>
      <c r="L155" s="7" t="s">
        <v>21</v>
      </c>
      <c r="M155" s="6" t="s">
        <v>63</v>
      </c>
      <c r="N155" s="6" t="s">
        <v>882</v>
      </c>
    </row>
    <row r="156" spans="1:14" x14ac:dyDescent="0.25">
      <c r="A156" s="4">
        <v>154</v>
      </c>
      <c r="B156" s="4" t="s">
        <v>860</v>
      </c>
      <c r="C156" s="5" t="s">
        <v>883</v>
      </c>
      <c r="D156" s="6" t="s">
        <v>884</v>
      </c>
      <c r="E156" s="6" t="s">
        <v>885</v>
      </c>
      <c r="F156" s="6" t="s">
        <v>886</v>
      </c>
      <c r="G156" s="6" t="s">
        <v>239</v>
      </c>
      <c r="H156" s="7" t="s">
        <v>23</v>
      </c>
      <c r="I156" s="7" t="s">
        <v>23</v>
      </c>
      <c r="J156" s="7" t="s">
        <v>23</v>
      </c>
      <c r="K156" s="7" t="s">
        <v>21</v>
      </c>
      <c r="L156" s="7" t="s">
        <v>23</v>
      </c>
      <c r="M156" s="6" t="s">
        <v>63</v>
      </c>
      <c r="N156" s="6" t="s">
        <v>770</v>
      </c>
    </row>
    <row r="157" spans="1:14" x14ac:dyDescent="0.25">
      <c r="A157" s="8">
        <v>155</v>
      </c>
      <c r="B157" s="9" t="s">
        <v>887</v>
      </c>
      <c r="C157" s="10" t="s">
        <v>888</v>
      </c>
      <c r="D157" s="11" t="s">
        <v>889</v>
      </c>
      <c r="E157" s="11" t="s">
        <v>890</v>
      </c>
      <c r="F157" s="11" t="s">
        <v>891</v>
      </c>
      <c r="G157" s="11" t="s">
        <v>892</v>
      </c>
      <c r="H157" s="12" t="s">
        <v>23</v>
      </c>
      <c r="I157" s="12" t="s">
        <v>23</v>
      </c>
      <c r="J157" s="12" t="s">
        <v>23</v>
      </c>
      <c r="K157" s="12" t="s">
        <v>21</v>
      </c>
      <c r="L157" s="12" t="s">
        <v>23</v>
      </c>
      <c r="M157" s="11" t="s">
        <v>43</v>
      </c>
      <c r="N157" s="11" t="s">
        <v>893</v>
      </c>
    </row>
    <row r="158" spans="1:14" x14ac:dyDescent="0.25">
      <c r="A158" s="8">
        <v>156</v>
      </c>
      <c r="B158" s="9" t="s">
        <v>887</v>
      </c>
      <c r="C158" s="10" t="s">
        <v>894</v>
      </c>
      <c r="D158" s="11" t="s">
        <v>895</v>
      </c>
      <c r="E158" s="11" t="s">
        <v>896</v>
      </c>
      <c r="F158" s="11" t="s">
        <v>897</v>
      </c>
      <c r="G158" s="11" t="s">
        <v>898</v>
      </c>
      <c r="H158" s="12" t="s">
        <v>23</v>
      </c>
      <c r="I158" s="12" t="s">
        <v>23</v>
      </c>
      <c r="J158" s="12" t="s">
        <v>23</v>
      </c>
      <c r="K158" s="12" t="s">
        <v>21</v>
      </c>
      <c r="L158" s="12" t="s">
        <v>23</v>
      </c>
      <c r="M158" s="11" t="s">
        <v>43</v>
      </c>
      <c r="N158" s="11" t="s">
        <v>899</v>
      </c>
    </row>
    <row r="159" spans="1:14" x14ac:dyDescent="0.25">
      <c r="A159" s="8">
        <v>157</v>
      </c>
      <c r="B159" s="9" t="s">
        <v>887</v>
      </c>
      <c r="C159" s="10" t="s">
        <v>900</v>
      </c>
      <c r="D159" s="11" t="s">
        <v>901</v>
      </c>
      <c r="E159" s="11" t="s">
        <v>902</v>
      </c>
      <c r="F159" s="11" t="s">
        <v>903</v>
      </c>
      <c r="G159" s="11" t="s">
        <v>904</v>
      </c>
      <c r="H159" s="12" t="s">
        <v>23</v>
      </c>
      <c r="I159" s="12" t="s">
        <v>23</v>
      </c>
      <c r="J159" s="12" t="s">
        <v>23</v>
      </c>
      <c r="K159" s="12" t="s">
        <v>21</v>
      </c>
      <c r="L159" s="12" t="s">
        <v>23</v>
      </c>
      <c r="M159" s="11" t="s">
        <v>63</v>
      </c>
      <c r="N159" s="11" t="s">
        <v>720</v>
      </c>
    </row>
    <row r="160" spans="1:14" x14ac:dyDescent="0.25">
      <c r="A160" s="8">
        <v>158</v>
      </c>
      <c r="B160" s="9" t="s">
        <v>887</v>
      </c>
      <c r="C160" s="10" t="s">
        <v>905</v>
      </c>
      <c r="D160" s="11" t="s">
        <v>906</v>
      </c>
      <c r="E160" s="11" t="s">
        <v>907</v>
      </c>
      <c r="F160" s="11" t="s">
        <v>908</v>
      </c>
      <c r="G160" s="11" t="s">
        <v>892</v>
      </c>
      <c r="H160" s="12" t="s">
        <v>23</v>
      </c>
      <c r="I160" s="12" t="s">
        <v>23</v>
      </c>
      <c r="J160" s="12" t="s">
        <v>23</v>
      </c>
      <c r="K160" s="12" t="s">
        <v>22</v>
      </c>
      <c r="L160" s="12" t="s">
        <v>23</v>
      </c>
      <c r="M160" s="11" t="s">
        <v>63</v>
      </c>
      <c r="N160" s="11" t="s">
        <v>909</v>
      </c>
    </row>
    <row r="161" spans="1:14" x14ac:dyDescent="0.25">
      <c r="A161" s="4">
        <v>159</v>
      </c>
      <c r="B161" s="4" t="s">
        <v>910</v>
      </c>
      <c r="C161" s="5" t="s">
        <v>911</v>
      </c>
      <c r="D161" s="6" t="s">
        <v>912</v>
      </c>
      <c r="E161" s="6" t="s">
        <v>913</v>
      </c>
      <c r="F161" s="6" t="s">
        <v>914</v>
      </c>
      <c r="G161" s="6" t="s">
        <v>915</v>
      </c>
      <c r="H161" s="7" t="s">
        <v>23</v>
      </c>
      <c r="I161" s="7" t="s">
        <v>23</v>
      </c>
      <c r="J161" s="7" t="s">
        <v>23</v>
      </c>
      <c r="K161" s="7" t="s">
        <v>21</v>
      </c>
      <c r="L161" s="7" t="s">
        <v>23</v>
      </c>
      <c r="M161" s="6" t="s">
        <v>43</v>
      </c>
      <c r="N161" s="6" t="s">
        <v>916</v>
      </c>
    </row>
    <row r="162" spans="1:14" x14ac:dyDescent="0.25">
      <c r="A162" s="4">
        <v>160</v>
      </c>
      <c r="B162" s="4" t="s">
        <v>910</v>
      </c>
      <c r="C162" s="5" t="s">
        <v>917</v>
      </c>
      <c r="D162" s="6" t="s">
        <v>918</v>
      </c>
      <c r="E162" s="6" t="s">
        <v>919</v>
      </c>
      <c r="F162" s="6" t="s">
        <v>920</v>
      </c>
      <c r="G162" s="6" t="s">
        <v>804</v>
      </c>
      <c r="H162" s="7" t="s">
        <v>23</v>
      </c>
      <c r="I162" s="7" t="s">
        <v>23</v>
      </c>
      <c r="J162" s="7" t="s">
        <v>23</v>
      </c>
      <c r="K162" s="7" t="s">
        <v>21</v>
      </c>
      <c r="L162" s="7" t="s">
        <v>23</v>
      </c>
      <c r="M162" s="6" t="s">
        <v>63</v>
      </c>
      <c r="N162" s="6" t="s">
        <v>921</v>
      </c>
    </row>
    <row r="163" spans="1:14" x14ac:dyDescent="0.25">
      <c r="A163" s="4">
        <v>161</v>
      </c>
      <c r="B163" s="4" t="s">
        <v>910</v>
      </c>
      <c r="C163" s="5" t="s">
        <v>922</v>
      </c>
      <c r="D163" s="6" t="s">
        <v>923</v>
      </c>
      <c r="E163" s="6" t="s">
        <v>924</v>
      </c>
      <c r="F163" s="6" t="s">
        <v>925</v>
      </c>
      <c r="G163" s="6" t="s">
        <v>804</v>
      </c>
      <c r="H163" s="7" t="s">
        <v>23</v>
      </c>
      <c r="I163" s="7" t="s">
        <v>23</v>
      </c>
      <c r="J163" s="7" t="s">
        <v>23</v>
      </c>
      <c r="K163" s="7" t="s">
        <v>21</v>
      </c>
      <c r="L163" s="7" t="s">
        <v>23</v>
      </c>
      <c r="M163" s="6" t="s">
        <v>63</v>
      </c>
      <c r="N163" s="6" t="s">
        <v>770</v>
      </c>
    </row>
    <row r="164" spans="1:14" x14ac:dyDescent="0.25">
      <c r="A164" s="8">
        <v>162</v>
      </c>
      <c r="B164" s="9" t="s">
        <v>926</v>
      </c>
      <c r="C164" s="10" t="s">
        <v>927</v>
      </c>
      <c r="D164" s="11" t="s">
        <v>928</v>
      </c>
      <c r="E164" s="11" t="s">
        <v>929</v>
      </c>
      <c r="F164" s="11" t="s">
        <v>930</v>
      </c>
      <c r="G164" s="11" t="s">
        <v>931</v>
      </c>
      <c r="H164" s="12" t="s">
        <v>23</v>
      </c>
      <c r="I164" s="12" t="s">
        <v>23</v>
      </c>
      <c r="J164" s="12" t="s">
        <v>23</v>
      </c>
      <c r="K164" s="12" t="s">
        <v>23</v>
      </c>
      <c r="L164" s="12" t="s">
        <v>21</v>
      </c>
      <c r="M164" s="11" t="s">
        <v>24</v>
      </c>
      <c r="N164" s="11" t="s">
        <v>932</v>
      </c>
    </row>
    <row r="165" spans="1:14" x14ac:dyDescent="0.25">
      <c r="A165" s="8">
        <v>163</v>
      </c>
      <c r="B165" s="9" t="s">
        <v>926</v>
      </c>
      <c r="C165" s="10" t="s">
        <v>933</v>
      </c>
      <c r="D165" s="11" t="s">
        <v>934</v>
      </c>
      <c r="E165" s="11" t="s">
        <v>935</v>
      </c>
      <c r="F165" s="11" t="s">
        <v>936</v>
      </c>
      <c r="G165" s="11" t="s">
        <v>937</v>
      </c>
      <c r="H165" s="12" t="s">
        <v>23</v>
      </c>
      <c r="I165" s="12" t="s">
        <v>23</v>
      </c>
      <c r="J165" s="12" t="s">
        <v>23</v>
      </c>
      <c r="K165" s="12" t="s">
        <v>23</v>
      </c>
      <c r="L165" s="12" t="s">
        <v>21</v>
      </c>
      <c r="M165" s="11" t="s">
        <v>24</v>
      </c>
      <c r="N165" s="11" t="s">
        <v>37</v>
      </c>
    </row>
    <row r="166" spans="1:14" x14ac:dyDescent="0.25">
      <c r="A166" s="8">
        <v>164</v>
      </c>
      <c r="B166" s="9" t="s">
        <v>926</v>
      </c>
      <c r="C166" s="10" t="s">
        <v>938</v>
      </c>
      <c r="D166" s="11" t="s">
        <v>939</v>
      </c>
      <c r="E166" s="11" t="s">
        <v>940</v>
      </c>
      <c r="F166" s="11" t="s">
        <v>941</v>
      </c>
      <c r="G166" s="11" t="s">
        <v>942</v>
      </c>
      <c r="H166" s="12" t="s">
        <v>23</v>
      </c>
      <c r="I166" s="12" t="s">
        <v>23</v>
      </c>
      <c r="J166" s="12" t="s">
        <v>23</v>
      </c>
      <c r="K166" s="12" t="s">
        <v>23</v>
      </c>
      <c r="L166" s="12" t="s">
        <v>21</v>
      </c>
      <c r="M166" s="11" t="s">
        <v>24</v>
      </c>
      <c r="N166" s="11" t="s">
        <v>37</v>
      </c>
    </row>
    <row r="167" spans="1:14" x14ac:dyDescent="0.25">
      <c r="A167" s="8">
        <v>165</v>
      </c>
      <c r="B167" s="9" t="s">
        <v>926</v>
      </c>
      <c r="C167" s="10" t="s">
        <v>943</v>
      </c>
      <c r="D167" s="11" t="s">
        <v>944</v>
      </c>
      <c r="E167" s="11" t="s">
        <v>945</v>
      </c>
      <c r="F167" s="11" t="s">
        <v>946</v>
      </c>
      <c r="G167" s="11" t="s">
        <v>947</v>
      </c>
      <c r="H167" s="12" t="s">
        <v>23</v>
      </c>
      <c r="I167" s="12" t="s">
        <v>23</v>
      </c>
      <c r="J167" s="12" t="s">
        <v>23</v>
      </c>
      <c r="K167" s="12" t="s">
        <v>23</v>
      </c>
      <c r="L167" s="12" t="s">
        <v>21</v>
      </c>
      <c r="M167" s="11" t="s">
        <v>43</v>
      </c>
      <c r="N167" s="11" t="s">
        <v>37</v>
      </c>
    </row>
    <row r="168" spans="1:14" x14ac:dyDescent="0.25">
      <c r="A168" s="8">
        <v>166</v>
      </c>
      <c r="B168" s="9" t="s">
        <v>926</v>
      </c>
      <c r="C168" s="10" t="s">
        <v>948</v>
      </c>
      <c r="D168" s="11" t="s">
        <v>949</v>
      </c>
      <c r="E168" s="11" t="s">
        <v>950</v>
      </c>
      <c r="F168" s="11" t="s">
        <v>951</v>
      </c>
      <c r="G168" s="11" t="s">
        <v>952</v>
      </c>
      <c r="H168" s="12" t="s">
        <v>23</v>
      </c>
      <c r="I168" s="12" t="s">
        <v>23</v>
      </c>
      <c r="J168" s="12" t="s">
        <v>23</v>
      </c>
      <c r="K168" s="12" t="s">
        <v>23</v>
      </c>
      <c r="L168" s="12" t="s">
        <v>21</v>
      </c>
      <c r="M168" s="11" t="s">
        <v>24</v>
      </c>
      <c r="N168" s="11" t="s">
        <v>953</v>
      </c>
    </row>
    <row r="169" spans="1:14" x14ac:dyDescent="0.25">
      <c r="A169" s="8">
        <v>167</v>
      </c>
      <c r="B169" s="9" t="s">
        <v>926</v>
      </c>
      <c r="C169" s="10" t="s">
        <v>954</v>
      </c>
      <c r="D169" s="11" t="s">
        <v>955</v>
      </c>
      <c r="E169" s="11" t="s">
        <v>956</v>
      </c>
      <c r="F169" s="11" t="s">
        <v>957</v>
      </c>
      <c r="G169" s="11" t="s">
        <v>958</v>
      </c>
      <c r="H169" s="12" t="s">
        <v>23</v>
      </c>
      <c r="I169" s="12" t="s">
        <v>23</v>
      </c>
      <c r="J169" s="12" t="s">
        <v>23</v>
      </c>
      <c r="K169" s="12" t="s">
        <v>23</v>
      </c>
      <c r="L169" s="12" t="s">
        <v>21</v>
      </c>
      <c r="M169" s="11" t="s">
        <v>43</v>
      </c>
      <c r="N169" s="11" t="s">
        <v>37</v>
      </c>
    </row>
    <row r="170" spans="1:14" x14ac:dyDescent="0.25">
      <c r="A170" s="8">
        <v>168</v>
      </c>
      <c r="B170" s="9" t="s">
        <v>926</v>
      </c>
      <c r="C170" s="10" t="s">
        <v>959</v>
      </c>
      <c r="D170" s="11" t="s">
        <v>960</v>
      </c>
      <c r="E170" s="11" t="s">
        <v>961</v>
      </c>
      <c r="F170" s="11" t="s">
        <v>962</v>
      </c>
      <c r="G170" s="11" t="s">
        <v>963</v>
      </c>
      <c r="H170" s="12" t="s">
        <v>23</v>
      </c>
      <c r="I170" s="12" t="s">
        <v>23</v>
      </c>
      <c r="J170" s="12" t="s">
        <v>23</v>
      </c>
      <c r="K170" s="12" t="s">
        <v>23</v>
      </c>
      <c r="L170" s="12" t="s">
        <v>21</v>
      </c>
      <c r="M170" s="11" t="s">
        <v>43</v>
      </c>
      <c r="N170" s="11" t="s">
        <v>37</v>
      </c>
    </row>
    <row r="171" spans="1:14" x14ac:dyDescent="0.25">
      <c r="A171" s="8">
        <v>169</v>
      </c>
      <c r="B171" s="9" t="s">
        <v>926</v>
      </c>
      <c r="C171" s="10" t="s">
        <v>964</v>
      </c>
      <c r="D171" s="11" t="s">
        <v>965</v>
      </c>
      <c r="E171" s="11" t="s">
        <v>966</v>
      </c>
      <c r="F171" s="11" t="s">
        <v>967</v>
      </c>
      <c r="G171" s="11" t="s">
        <v>968</v>
      </c>
      <c r="H171" s="12" t="s">
        <v>23</v>
      </c>
      <c r="I171" s="12" t="s">
        <v>23</v>
      </c>
      <c r="J171" s="12" t="s">
        <v>23</v>
      </c>
      <c r="K171" s="12" t="s">
        <v>23</v>
      </c>
      <c r="L171" s="12" t="s">
        <v>21</v>
      </c>
      <c r="M171" s="11" t="s">
        <v>63</v>
      </c>
      <c r="N171" s="11" t="s">
        <v>171</v>
      </c>
    </row>
    <row r="172" spans="1:14" x14ac:dyDescent="0.25">
      <c r="A172" s="8">
        <v>170</v>
      </c>
      <c r="B172" s="9" t="s">
        <v>926</v>
      </c>
      <c r="C172" s="10" t="s">
        <v>969</v>
      </c>
      <c r="D172" s="11" t="s">
        <v>970</v>
      </c>
      <c r="E172" s="11" t="s">
        <v>971</v>
      </c>
      <c r="F172" s="11" t="s">
        <v>972</v>
      </c>
      <c r="G172" s="11" t="s">
        <v>973</v>
      </c>
      <c r="H172" s="12" t="s">
        <v>23</v>
      </c>
      <c r="I172" s="12" t="s">
        <v>23</v>
      </c>
      <c r="J172" s="12" t="s">
        <v>23</v>
      </c>
      <c r="K172" s="12" t="s">
        <v>23</v>
      </c>
      <c r="L172" s="12" t="s">
        <v>21</v>
      </c>
      <c r="M172" s="11" t="s">
        <v>63</v>
      </c>
      <c r="N172" s="11" t="s">
        <v>37</v>
      </c>
    </row>
    <row r="173" spans="1:14" x14ac:dyDescent="0.25">
      <c r="A173" s="8">
        <v>171</v>
      </c>
      <c r="B173" s="9" t="s">
        <v>926</v>
      </c>
      <c r="C173" s="10" t="s">
        <v>974</v>
      </c>
      <c r="D173" s="11" t="s">
        <v>975</v>
      </c>
      <c r="E173" s="11" t="s">
        <v>976</v>
      </c>
      <c r="F173" s="11" t="s">
        <v>977</v>
      </c>
      <c r="G173" s="11" t="s">
        <v>978</v>
      </c>
      <c r="H173" s="12" t="s">
        <v>23</v>
      </c>
      <c r="I173" s="12" t="s">
        <v>23</v>
      </c>
      <c r="J173" s="12" t="s">
        <v>23</v>
      </c>
      <c r="K173" s="12" t="s">
        <v>23</v>
      </c>
      <c r="L173" s="12" t="s">
        <v>21</v>
      </c>
      <c r="M173" s="11" t="s">
        <v>63</v>
      </c>
      <c r="N173" s="11" t="s">
        <v>171</v>
      </c>
    </row>
    <row r="174" spans="1:14" x14ac:dyDescent="0.25">
      <c r="A174" s="8">
        <v>172</v>
      </c>
      <c r="B174" s="9" t="s">
        <v>926</v>
      </c>
      <c r="C174" s="10" t="s">
        <v>979</v>
      </c>
      <c r="D174" s="11" t="s">
        <v>980</v>
      </c>
      <c r="E174" s="11" t="s">
        <v>981</v>
      </c>
      <c r="F174" s="11" t="s">
        <v>982</v>
      </c>
      <c r="G174" s="11" t="s">
        <v>983</v>
      </c>
      <c r="H174" s="12" t="s">
        <v>23</v>
      </c>
      <c r="I174" s="12" t="s">
        <v>23</v>
      </c>
      <c r="J174" s="12" t="s">
        <v>23</v>
      </c>
      <c r="K174" s="12" t="s">
        <v>23</v>
      </c>
      <c r="L174" s="12" t="s">
        <v>21</v>
      </c>
      <c r="M174" s="11" t="s">
        <v>24</v>
      </c>
      <c r="N174" s="11" t="s">
        <v>37</v>
      </c>
    </row>
    <row r="175" spans="1:14" x14ac:dyDescent="0.25">
      <c r="A175" s="8">
        <v>173</v>
      </c>
      <c r="B175" s="9" t="s">
        <v>926</v>
      </c>
      <c r="C175" s="10" t="s">
        <v>984</v>
      </c>
      <c r="D175" s="11" t="s">
        <v>985</v>
      </c>
      <c r="E175" s="11" t="s">
        <v>986</v>
      </c>
      <c r="F175" s="11" t="s">
        <v>987</v>
      </c>
      <c r="G175" s="11" t="s">
        <v>239</v>
      </c>
      <c r="H175" s="12" t="s">
        <v>23</v>
      </c>
      <c r="I175" s="12" t="s">
        <v>23</v>
      </c>
      <c r="J175" s="12" t="s">
        <v>23</v>
      </c>
      <c r="K175" s="12" t="s">
        <v>23</v>
      </c>
      <c r="L175" s="12" t="s">
        <v>21</v>
      </c>
      <c r="M175" s="11" t="s">
        <v>63</v>
      </c>
      <c r="N175" s="11" t="s">
        <v>988</v>
      </c>
    </row>
    <row r="176" spans="1:14" x14ac:dyDescent="0.25">
      <c r="A176" s="8">
        <v>174</v>
      </c>
      <c r="B176" s="9" t="s">
        <v>926</v>
      </c>
      <c r="C176" s="10" t="s">
        <v>989</v>
      </c>
      <c r="D176" s="11" t="s">
        <v>990</v>
      </c>
      <c r="E176" s="11" t="s">
        <v>991</v>
      </c>
      <c r="F176" s="11" t="s">
        <v>239</v>
      </c>
      <c r="G176" s="11" t="s">
        <v>239</v>
      </c>
      <c r="H176" s="12" t="s">
        <v>23</v>
      </c>
      <c r="I176" s="12" t="s">
        <v>23</v>
      </c>
      <c r="J176" s="12" t="s">
        <v>23</v>
      </c>
      <c r="K176" s="12" t="s">
        <v>23</v>
      </c>
      <c r="L176" s="12" t="s">
        <v>21</v>
      </c>
      <c r="M176" s="11" t="s">
        <v>63</v>
      </c>
      <c r="N176" s="11" t="s">
        <v>37</v>
      </c>
    </row>
    <row r="177" spans="1:14" x14ac:dyDescent="0.25">
      <c r="A177" s="8">
        <v>175</v>
      </c>
      <c r="B177" s="9" t="s">
        <v>926</v>
      </c>
      <c r="C177" s="10" t="s">
        <v>992</v>
      </c>
      <c r="D177" s="11" t="s">
        <v>993</v>
      </c>
      <c r="E177" s="11" t="s">
        <v>994</v>
      </c>
      <c r="F177" s="11" t="s">
        <v>995</v>
      </c>
      <c r="G177" s="11" t="s">
        <v>239</v>
      </c>
      <c r="H177" s="12" t="s">
        <v>23</v>
      </c>
      <c r="I177" s="12" t="s">
        <v>23</v>
      </c>
      <c r="J177" s="12" t="s">
        <v>23</v>
      </c>
      <c r="K177" s="12" t="s">
        <v>23</v>
      </c>
      <c r="L177" s="12" t="s">
        <v>21</v>
      </c>
      <c r="M177" s="11" t="s">
        <v>43</v>
      </c>
      <c r="N177" s="11" t="s">
        <v>37</v>
      </c>
    </row>
    <row r="178" spans="1:14" x14ac:dyDescent="0.25">
      <c r="A178" s="8">
        <v>176</v>
      </c>
      <c r="B178" s="9" t="s">
        <v>926</v>
      </c>
      <c r="C178" s="10" t="s">
        <v>996</v>
      </c>
      <c r="D178" s="11" t="s">
        <v>997</v>
      </c>
      <c r="E178" s="11" t="s">
        <v>998</v>
      </c>
      <c r="F178" s="11" t="s">
        <v>987</v>
      </c>
      <c r="G178" s="11" t="s">
        <v>999</v>
      </c>
      <c r="H178" s="12" t="s">
        <v>23</v>
      </c>
      <c r="I178" s="12" t="s">
        <v>23</v>
      </c>
      <c r="J178" s="12" t="s">
        <v>23</v>
      </c>
      <c r="K178" s="12" t="s">
        <v>23</v>
      </c>
      <c r="L178" s="12" t="s">
        <v>21</v>
      </c>
      <c r="M178" s="11" t="s">
        <v>43</v>
      </c>
      <c r="N178" s="11" t="s">
        <v>37</v>
      </c>
    </row>
    <row r="179" spans="1:14" x14ac:dyDescent="0.25">
      <c r="A179" s="8">
        <v>177</v>
      </c>
      <c r="B179" s="9" t="s">
        <v>926</v>
      </c>
      <c r="C179" s="10" t="s">
        <v>1000</v>
      </c>
      <c r="D179" s="11" t="s">
        <v>1001</v>
      </c>
      <c r="E179" s="11" t="s">
        <v>1002</v>
      </c>
      <c r="F179" s="11" t="s">
        <v>1003</v>
      </c>
      <c r="G179" s="11" t="s">
        <v>1004</v>
      </c>
      <c r="H179" s="12" t="s">
        <v>23</v>
      </c>
      <c r="I179" s="12" t="s">
        <v>23</v>
      </c>
      <c r="J179" s="12" t="s">
        <v>23</v>
      </c>
      <c r="K179" s="12" t="s">
        <v>23</v>
      </c>
      <c r="L179" s="12" t="s">
        <v>21</v>
      </c>
      <c r="M179" s="11" t="s">
        <v>63</v>
      </c>
      <c r="N179" s="11" t="s">
        <v>171</v>
      </c>
    </row>
    <row r="180" spans="1:14" x14ac:dyDescent="0.25">
      <c r="A180" s="8">
        <v>178</v>
      </c>
      <c r="B180" s="9" t="s">
        <v>926</v>
      </c>
      <c r="C180" s="10" t="s">
        <v>1005</v>
      </c>
      <c r="D180" s="11" t="s">
        <v>1006</v>
      </c>
      <c r="E180" s="11" t="s">
        <v>1007</v>
      </c>
      <c r="F180" s="11" t="s">
        <v>1008</v>
      </c>
      <c r="G180" s="11" t="s">
        <v>1009</v>
      </c>
      <c r="H180" s="12" t="s">
        <v>23</v>
      </c>
      <c r="I180" s="12" t="s">
        <v>23</v>
      </c>
      <c r="J180" s="12" t="s">
        <v>23</v>
      </c>
      <c r="K180" s="12" t="s">
        <v>23</v>
      </c>
      <c r="L180" s="12" t="s">
        <v>21</v>
      </c>
      <c r="M180" s="11" t="s">
        <v>43</v>
      </c>
      <c r="N180" s="11" t="s">
        <v>1010</v>
      </c>
    </row>
    <row r="181" spans="1:14" x14ac:dyDescent="0.25">
      <c r="A181" s="8">
        <v>179</v>
      </c>
      <c r="B181" s="9" t="s">
        <v>926</v>
      </c>
      <c r="C181" s="10" t="s">
        <v>1011</v>
      </c>
      <c r="D181" s="11" t="s">
        <v>1012</v>
      </c>
      <c r="E181" s="11" t="s">
        <v>1013</v>
      </c>
      <c r="F181" s="11" t="s">
        <v>1014</v>
      </c>
      <c r="G181" s="11" t="s">
        <v>1015</v>
      </c>
      <c r="H181" s="12" t="s">
        <v>23</v>
      </c>
      <c r="I181" s="12" t="s">
        <v>23</v>
      </c>
      <c r="J181" s="12" t="s">
        <v>23</v>
      </c>
      <c r="K181" s="12" t="s">
        <v>23</v>
      </c>
      <c r="L181" s="12" t="s">
        <v>21</v>
      </c>
      <c r="M181" s="11" t="s">
        <v>43</v>
      </c>
      <c r="N181" s="11" t="s">
        <v>720</v>
      </c>
    </row>
    <row r="182" spans="1:14" x14ac:dyDescent="0.25">
      <c r="A182" s="8">
        <v>180</v>
      </c>
      <c r="B182" s="9" t="s">
        <v>926</v>
      </c>
      <c r="C182" s="10" t="s">
        <v>1016</v>
      </c>
      <c r="D182" s="11" t="s">
        <v>1017</v>
      </c>
      <c r="E182" s="11" t="s">
        <v>1018</v>
      </c>
      <c r="F182" s="11" t="s">
        <v>239</v>
      </c>
      <c r="G182" s="11" t="s">
        <v>239</v>
      </c>
      <c r="H182" s="12" t="s">
        <v>23</v>
      </c>
      <c r="I182" s="12" t="s">
        <v>23</v>
      </c>
      <c r="J182" s="12" t="s">
        <v>23</v>
      </c>
      <c r="K182" s="12" t="s">
        <v>23</v>
      </c>
      <c r="L182" s="12" t="s">
        <v>21</v>
      </c>
      <c r="M182" s="11" t="s">
        <v>63</v>
      </c>
      <c r="N182" s="11" t="s">
        <v>297</v>
      </c>
    </row>
    <row r="183" spans="1:14" x14ac:dyDescent="0.25">
      <c r="A183" s="8">
        <v>181</v>
      </c>
      <c r="B183" s="9" t="s">
        <v>926</v>
      </c>
      <c r="C183" s="10" t="s">
        <v>1019</v>
      </c>
      <c r="D183" s="11" t="s">
        <v>1020</v>
      </c>
      <c r="E183" s="11" t="s">
        <v>1021</v>
      </c>
      <c r="F183" s="11" t="s">
        <v>1022</v>
      </c>
      <c r="G183" s="11" t="s">
        <v>1023</v>
      </c>
      <c r="H183" s="12" t="s">
        <v>23</v>
      </c>
      <c r="I183" s="12" t="s">
        <v>23</v>
      </c>
      <c r="J183" s="12" t="s">
        <v>23</v>
      </c>
      <c r="K183" s="12" t="s">
        <v>23</v>
      </c>
      <c r="L183" s="12" t="s">
        <v>21</v>
      </c>
      <c r="M183" s="11" t="s">
        <v>43</v>
      </c>
      <c r="N183" s="11" t="s">
        <v>1024</v>
      </c>
    </row>
    <row r="184" spans="1:14" x14ac:dyDescent="0.25">
      <c r="A184" s="8">
        <v>182</v>
      </c>
      <c r="B184" s="9" t="s">
        <v>926</v>
      </c>
      <c r="C184" s="10" t="s">
        <v>1025</v>
      </c>
      <c r="D184" s="11" t="s">
        <v>1026</v>
      </c>
      <c r="E184" s="11" t="s">
        <v>1027</v>
      </c>
      <c r="F184" s="11" t="s">
        <v>1028</v>
      </c>
      <c r="G184" s="11" t="s">
        <v>1029</v>
      </c>
      <c r="H184" s="12" t="s">
        <v>23</v>
      </c>
      <c r="I184" s="12" t="s">
        <v>23</v>
      </c>
      <c r="J184" s="12" t="s">
        <v>23</v>
      </c>
      <c r="K184" s="12" t="s">
        <v>23</v>
      </c>
      <c r="L184" s="12" t="s">
        <v>21</v>
      </c>
      <c r="M184" s="11" t="s">
        <v>63</v>
      </c>
      <c r="N184" s="11" t="s">
        <v>1030</v>
      </c>
    </row>
    <row r="185" spans="1:14" x14ac:dyDescent="0.25">
      <c r="A185" s="8">
        <v>183</v>
      </c>
      <c r="B185" s="9" t="s">
        <v>926</v>
      </c>
      <c r="C185" s="10" t="s">
        <v>1031</v>
      </c>
      <c r="D185" s="11" t="s">
        <v>1032</v>
      </c>
      <c r="E185" s="11" t="s">
        <v>1033</v>
      </c>
      <c r="F185" s="11" t="s">
        <v>239</v>
      </c>
      <c r="G185" s="11" t="s">
        <v>1034</v>
      </c>
      <c r="H185" s="12" t="s">
        <v>23</v>
      </c>
      <c r="I185" s="12" t="s">
        <v>23</v>
      </c>
      <c r="J185" s="12" t="s">
        <v>23</v>
      </c>
      <c r="K185" s="12" t="s">
        <v>23</v>
      </c>
      <c r="L185" s="12" t="s">
        <v>21</v>
      </c>
      <c r="M185" s="11" t="s">
        <v>63</v>
      </c>
      <c r="N185" s="11" t="s">
        <v>1035</v>
      </c>
    </row>
    <row r="186" spans="1:14" x14ac:dyDescent="0.25">
      <c r="A186" s="4">
        <v>184</v>
      </c>
      <c r="B186" s="4" t="s">
        <v>1036</v>
      </c>
      <c r="C186" s="5" t="s">
        <v>1037</v>
      </c>
      <c r="D186" s="6" t="s">
        <v>1038</v>
      </c>
      <c r="E186" s="6" t="s">
        <v>1039</v>
      </c>
      <c r="F186" s="6" t="s">
        <v>1040</v>
      </c>
      <c r="G186" s="6" t="s">
        <v>1041</v>
      </c>
      <c r="H186" s="7" t="s">
        <v>23</v>
      </c>
      <c r="I186" s="7" t="s">
        <v>23</v>
      </c>
      <c r="J186" s="7" t="s">
        <v>23</v>
      </c>
      <c r="K186" s="7" t="s">
        <v>23</v>
      </c>
      <c r="L186" s="7" t="s">
        <v>21</v>
      </c>
      <c r="M186" s="6" t="s">
        <v>24</v>
      </c>
      <c r="N186" s="6" t="s">
        <v>1042</v>
      </c>
    </row>
    <row r="187" spans="1:14" x14ac:dyDescent="0.25">
      <c r="A187" s="4">
        <v>185</v>
      </c>
      <c r="B187" s="4" t="s">
        <v>1036</v>
      </c>
      <c r="C187" s="5" t="s">
        <v>1043</v>
      </c>
      <c r="D187" s="6" t="s">
        <v>1044</v>
      </c>
      <c r="E187" s="6" t="s">
        <v>1045</v>
      </c>
      <c r="F187" s="6" t="s">
        <v>1046</v>
      </c>
      <c r="G187" s="6" t="s">
        <v>1047</v>
      </c>
      <c r="H187" s="7" t="s">
        <v>23</v>
      </c>
      <c r="I187" s="7" t="s">
        <v>23</v>
      </c>
      <c r="J187" s="7" t="s">
        <v>23</v>
      </c>
      <c r="K187" s="7" t="s">
        <v>23</v>
      </c>
      <c r="L187" s="7" t="s">
        <v>21</v>
      </c>
      <c r="M187" s="6" t="s">
        <v>24</v>
      </c>
      <c r="N187" s="6" t="s">
        <v>37</v>
      </c>
    </row>
    <row r="188" spans="1:14" x14ac:dyDescent="0.25">
      <c r="A188" s="4">
        <v>186</v>
      </c>
      <c r="B188" s="4" t="s">
        <v>1036</v>
      </c>
      <c r="C188" s="5" t="s">
        <v>1048</v>
      </c>
      <c r="D188" s="6" t="s">
        <v>1049</v>
      </c>
      <c r="E188" s="6" t="s">
        <v>1050</v>
      </c>
      <c r="F188" s="6" t="s">
        <v>1051</v>
      </c>
      <c r="G188" s="6" t="s">
        <v>1052</v>
      </c>
      <c r="H188" s="7" t="s">
        <v>23</v>
      </c>
      <c r="I188" s="7" t="s">
        <v>23</v>
      </c>
      <c r="J188" s="7" t="s">
        <v>23</v>
      </c>
      <c r="K188" s="7" t="s">
        <v>23</v>
      </c>
      <c r="L188" s="7" t="s">
        <v>21</v>
      </c>
      <c r="M188" s="6" t="s">
        <v>24</v>
      </c>
      <c r="N188" s="6" t="s">
        <v>37</v>
      </c>
    </row>
    <row r="189" spans="1:14" x14ac:dyDescent="0.25">
      <c r="A189" s="4">
        <v>187</v>
      </c>
      <c r="B189" s="4" t="s">
        <v>1036</v>
      </c>
      <c r="C189" s="5" t="s">
        <v>1053</v>
      </c>
      <c r="D189" s="6" t="s">
        <v>1054</v>
      </c>
      <c r="E189" s="6" t="s">
        <v>1055</v>
      </c>
      <c r="F189" s="6" t="s">
        <v>1056</v>
      </c>
      <c r="G189" s="6" t="s">
        <v>1057</v>
      </c>
      <c r="H189" s="7" t="s">
        <v>23</v>
      </c>
      <c r="I189" s="7" t="s">
        <v>23</v>
      </c>
      <c r="J189" s="7" t="s">
        <v>23</v>
      </c>
      <c r="K189" s="7" t="s">
        <v>23</v>
      </c>
      <c r="L189" s="7" t="s">
        <v>21</v>
      </c>
      <c r="M189" s="6" t="s">
        <v>43</v>
      </c>
      <c r="N189" s="6" t="s">
        <v>37</v>
      </c>
    </row>
    <row r="190" spans="1:14" x14ac:dyDescent="0.25">
      <c r="A190" s="4">
        <v>188</v>
      </c>
      <c r="B190" s="4" t="s">
        <v>1036</v>
      </c>
      <c r="C190" s="5" t="s">
        <v>1058</v>
      </c>
      <c r="D190" s="6" t="s">
        <v>1059</v>
      </c>
      <c r="E190" s="6" t="s">
        <v>1060</v>
      </c>
      <c r="F190" s="6" t="s">
        <v>1061</v>
      </c>
      <c r="G190" s="6" t="s">
        <v>1062</v>
      </c>
      <c r="H190" s="7" t="s">
        <v>23</v>
      </c>
      <c r="I190" s="7" t="s">
        <v>23</v>
      </c>
      <c r="J190" s="7" t="s">
        <v>23</v>
      </c>
      <c r="K190" s="7" t="s">
        <v>23</v>
      </c>
      <c r="L190" s="7" t="s">
        <v>21</v>
      </c>
      <c r="M190" s="6" t="s">
        <v>63</v>
      </c>
      <c r="N190" s="6" t="s">
        <v>1063</v>
      </c>
    </row>
    <row r="191" spans="1:14" x14ac:dyDescent="0.25">
      <c r="A191" s="4">
        <v>189</v>
      </c>
      <c r="B191" s="4" t="s">
        <v>1036</v>
      </c>
      <c r="C191" s="5" t="s">
        <v>1064</v>
      </c>
      <c r="D191" s="6" t="s">
        <v>1065</v>
      </c>
      <c r="E191" s="6" t="s">
        <v>1066</v>
      </c>
      <c r="F191" s="6" t="s">
        <v>1067</v>
      </c>
      <c r="G191" s="6" t="s">
        <v>1068</v>
      </c>
      <c r="H191" s="7" t="s">
        <v>23</v>
      </c>
      <c r="I191" s="7" t="s">
        <v>23</v>
      </c>
      <c r="J191" s="7" t="s">
        <v>23</v>
      </c>
      <c r="K191" s="7" t="s">
        <v>23</v>
      </c>
      <c r="L191" s="7" t="s">
        <v>21</v>
      </c>
      <c r="M191" s="6" t="s">
        <v>63</v>
      </c>
      <c r="N191" s="6" t="s">
        <v>1069</v>
      </c>
    </row>
    <row r="192" spans="1:14" x14ac:dyDescent="0.25">
      <c r="A192" s="4">
        <v>190</v>
      </c>
      <c r="B192" s="4" t="s">
        <v>1036</v>
      </c>
      <c r="C192" s="5" t="s">
        <v>1070</v>
      </c>
      <c r="D192" s="6" t="s">
        <v>1071</v>
      </c>
      <c r="E192" s="6" t="s">
        <v>1072</v>
      </c>
      <c r="F192" s="6" t="s">
        <v>239</v>
      </c>
      <c r="G192" s="6" t="s">
        <v>239</v>
      </c>
      <c r="H192" s="7" t="s">
        <v>23</v>
      </c>
      <c r="I192" s="7" t="s">
        <v>23</v>
      </c>
      <c r="J192" s="7" t="s">
        <v>23</v>
      </c>
      <c r="K192" s="7" t="s">
        <v>23</v>
      </c>
      <c r="L192" s="7" t="s">
        <v>21</v>
      </c>
      <c r="M192" s="6" t="s">
        <v>63</v>
      </c>
      <c r="N192" s="6" t="s">
        <v>720</v>
      </c>
    </row>
    <row r="193" spans="1:14" x14ac:dyDescent="0.25">
      <c r="A193" s="4">
        <v>191</v>
      </c>
      <c r="B193" s="4" t="s">
        <v>1036</v>
      </c>
      <c r="C193" s="5" t="s">
        <v>1073</v>
      </c>
      <c r="D193" s="6" t="s">
        <v>1074</v>
      </c>
      <c r="E193" s="6" t="s">
        <v>1075</v>
      </c>
      <c r="F193" s="6" t="s">
        <v>1076</v>
      </c>
      <c r="G193" s="6" t="s">
        <v>1077</v>
      </c>
      <c r="H193" s="7" t="s">
        <v>23</v>
      </c>
      <c r="I193" s="7" t="s">
        <v>23</v>
      </c>
      <c r="J193" s="7" t="s">
        <v>23</v>
      </c>
      <c r="K193" s="7" t="s">
        <v>23</v>
      </c>
      <c r="L193" s="7" t="s">
        <v>21</v>
      </c>
      <c r="M193" s="6" t="s">
        <v>63</v>
      </c>
      <c r="N193" s="6" t="s">
        <v>849</v>
      </c>
    </row>
    <row r="194" spans="1:14" x14ac:dyDescent="0.25">
      <c r="A194" s="4">
        <v>192</v>
      </c>
      <c r="B194" s="4" t="s">
        <v>1036</v>
      </c>
      <c r="C194" s="5" t="s">
        <v>1078</v>
      </c>
      <c r="D194" s="6" t="s">
        <v>1079</v>
      </c>
      <c r="E194" s="6" t="s">
        <v>1080</v>
      </c>
      <c r="F194" s="6" t="s">
        <v>1081</v>
      </c>
      <c r="G194" s="6" t="s">
        <v>1082</v>
      </c>
      <c r="H194" s="7" t="s">
        <v>23</v>
      </c>
      <c r="I194" s="7" t="s">
        <v>23</v>
      </c>
      <c r="J194" s="7" t="s">
        <v>23</v>
      </c>
      <c r="K194" s="7" t="s">
        <v>23</v>
      </c>
      <c r="L194" s="7" t="s">
        <v>21</v>
      </c>
      <c r="M194" s="6" t="s">
        <v>43</v>
      </c>
      <c r="N194" s="6" t="s">
        <v>1083</v>
      </c>
    </row>
    <row r="195" spans="1:14" x14ac:dyDescent="0.25">
      <c r="A195" s="8">
        <v>193</v>
      </c>
      <c r="B195" s="9" t="s">
        <v>1084</v>
      </c>
      <c r="C195" s="10" t="s">
        <v>1085</v>
      </c>
      <c r="D195" s="11" t="s">
        <v>1086</v>
      </c>
      <c r="E195" s="11" t="s">
        <v>1087</v>
      </c>
      <c r="F195" s="11" t="s">
        <v>1088</v>
      </c>
      <c r="G195" s="11" t="s">
        <v>1089</v>
      </c>
      <c r="H195" s="12" t="s">
        <v>23</v>
      </c>
      <c r="I195" s="12" t="s">
        <v>23</v>
      </c>
      <c r="J195" s="12" t="s">
        <v>23</v>
      </c>
      <c r="K195" s="12" t="s">
        <v>23</v>
      </c>
      <c r="L195" s="12" t="s">
        <v>21</v>
      </c>
      <c r="M195" s="11" t="s">
        <v>43</v>
      </c>
      <c r="N195" s="11" t="s">
        <v>1090</v>
      </c>
    </row>
    <row r="196" spans="1:14" x14ac:dyDescent="0.25">
      <c r="A196" s="8">
        <v>194</v>
      </c>
      <c r="B196" s="9" t="s">
        <v>1084</v>
      </c>
      <c r="C196" s="10" t="s">
        <v>1091</v>
      </c>
      <c r="D196" s="11" t="s">
        <v>1092</v>
      </c>
      <c r="E196" s="11" t="s">
        <v>1093</v>
      </c>
      <c r="F196" s="11" t="s">
        <v>1094</v>
      </c>
      <c r="G196" s="11" t="s">
        <v>1095</v>
      </c>
      <c r="H196" s="12" t="s">
        <v>23</v>
      </c>
      <c r="I196" s="12" t="s">
        <v>23</v>
      </c>
      <c r="J196" s="12" t="s">
        <v>23</v>
      </c>
      <c r="K196" s="12" t="s">
        <v>23</v>
      </c>
      <c r="L196" s="12" t="s">
        <v>21</v>
      </c>
      <c r="M196" s="11" t="s">
        <v>63</v>
      </c>
      <c r="N196" s="11" t="s">
        <v>1096</v>
      </c>
    </row>
    <row r="197" spans="1:14" x14ac:dyDescent="0.25">
      <c r="A197" s="8">
        <v>195</v>
      </c>
      <c r="B197" s="9" t="s">
        <v>1084</v>
      </c>
      <c r="C197" s="10" t="s">
        <v>1097</v>
      </c>
      <c r="D197" s="11" t="s">
        <v>1098</v>
      </c>
      <c r="E197" s="11" t="s">
        <v>1099</v>
      </c>
      <c r="F197" s="11" t="s">
        <v>1100</v>
      </c>
      <c r="G197" s="11" t="s">
        <v>1101</v>
      </c>
      <c r="H197" s="12" t="s">
        <v>23</v>
      </c>
      <c r="I197" s="12" t="s">
        <v>23</v>
      </c>
      <c r="J197" s="12" t="s">
        <v>23</v>
      </c>
      <c r="K197" s="12" t="s">
        <v>23</v>
      </c>
      <c r="L197" s="12" t="s">
        <v>21</v>
      </c>
      <c r="M197" s="11" t="s">
        <v>43</v>
      </c>
      <c r="N197" s="11" t="s">
        <v>1102</v>
      </c>
    </row>
    <row r="198" spans="1:14" x14ac:dyDescent="0.25">
      <c r="A198" s="8">
        <v>196</v>
      </c>
      <c r="B198" s="9" t="s">
        <v>1084</v>
      </c>
      <c r="C198" s="10" t="s">
        <v>1103</v>
      </c>
      <c r="D198" s="11" t="s">
        <v>1104</v>
      </c>
      <c r="E198" s="11" t="s">
        <v>1105</v>
      </c>
      <c r="F198" s="11" t="s">
        <v>1106</v>
      </c>
      <c r="G198" s="11" t="s">
        <v>1107</v>
      </c>
      <c r="H198" s="12" t="s">
        <v>23</v>
      </c>
      <c r="I198" s="12" t="s">
        <v>23</v>
      </c>
      <c r="J198" s="12" t="s">
        <v>23</v>
      </c>
      <c r="K198" s="12" t="s">
        <v>23</v>
      </c>
      <c r="L198" s="12" t="s">
        <v>21</v>
      </c>
      <c r="M198" s="11" t="s">
        <v>63</v>
      </c>
      <c r="N198" s="11" t="s">
        <v>1108</v>
      </c>
    </row>
    <row r="199" spans="1:14" x14ac:dyDescent="0.25">
      <c r="A199" s="8">
        <v>197</v>
      </c>
      <c r="B199" s="9" t="s">
        <v>1084</v>
      </c>
      <c r="C199" s="10" t="s">
        <v>1109</v>
      </c>
      <c r="D199" s="11" t="s">
        <v>1110</v>
      </c>
      <c r="E199" s="11" t="s">
        <v>1111</v>
      </c>
      <c r="F199" s="11" t="s">
        <v>1112</v>
      </c>
      <c r="G199" s="11" t="s">
        <v>973</v>
      </c>
      <c r="H199" s="12" t="s">
        <v>23</v>
      </c>
      <c r="I199" s="12" t="s">
        <v>23</v>
      </c>
      <c r="J199" s="12" t="s">
        <v>23</v>
      </c>
      <c r="K199" s="12" t="s">
        <v>23</v>
      </c>
      <c r="L199" s="12" t="s">
        <v>21</v>
      </c>
      <c r="M199" s="11" t="s">
        <v>63</v>
      </c>
      <c r="N199" s="11" t="s">
        <v>1108</v>
      </c>
    </row>
    <row r="200" spans="1:14" x14ac:dyDescent="0.25">
      <c r="A200" s="8">
        <v>198</v>
      </c>
      <c r="B200" s="9" t="s">
        <v>1084</v>
      </c>
      <c r="C200" s="10" t="s">
        <v>1113</v>
      </c>
      <c r="D200" s="11" t="s">
        <v>1114</v>
      </c>
      <c r="E200" s="11" t="s">
        <v>1115</v>
      </c>
      <c r="F200" s="11" t="s">
        <v>1116</v>
      </c>
      <c r="G200" s="11" t="s">
        <v>1117</v>
      </c>
      <c r="H200" s="12" t="s">
        <v>23</v>
      </c>
      <c r="I200" s="12" t="s">
        <v>23</v>
      </c>
      <c r="J200" s="12" t="s">
        <v>23</v>
      </c>
      <c r="K200" s="12" t="s">
        <v>23</v>
      </c>
      <c r="L200" s="12" t="s">
        <v>21</v>
      </c>
      <c r="M200" s="11" t="s">
        <v>63</v>
      </c>
      <c r="N200" s="11" t="s">
        <v>1118</v>
      </c>
    </row>
    <row r="201" spans="1:14" x14ac:dyDescent="0.25">
      <c r="A201" s="8">
        <v>199</v>
      </c>
      <c r="B201" s="9" t="s">
        <v>1084</v>
      </c>
      <c r="C201" s="10" t="s">
        <v>1119</v>
      </c>
      <c r="D201" s="11" t="s">
        <v>1120</v>
      </c>
      <c r="E201" s="11" t="s">
        <v>1121</v>
      </c>
      <c r="F201" s="11" t="s">
        <v>1122</v>
      </c>
      <c r="G201" s="11" t="s">
        <v>804</v>
      </c>
      <c r="H201" s="12" t="s">
        <v>23</v>
      </c>
      <c r="I201" s="12" t="s">
        <v>23</v>
      </c>
      <c r="J201" s="12" t="s">
        <v>23</v>
      </c>
      <c r="K201" s="12" t="s">
        <v>23</v>
      </c>
      <c r="L201" s="12" t="s">
        <v>21</v>
      </c>
      <c r="M201" s="11" t="s">
        <v>63</v>
      </c>
      <c r="N201" s="11" t="s">
        <v>1123</v>
      </c>
    </row>
    <row r="202" spans="1:14" x14ac:dyDescent="0.25">
      <c r="A202" s="4">
        <v>200</v>
      </c>
      <c r="B202" s="4" t="s">
        <v>1124</v>
      </c>
      <c r="C202" s="5" t="s">
        <v>1125</v>
      </c>
      <c r="D202" s="6" t="s">
        <v>1126</v>
      </c>
      <c r="E202" s="6" t="s">
        <v>1127</v>
      </c>
      <c r="F202" s="6" t="s">
        <v>1128</v>
      </c>
      <c r="G202" s="6" t="s">
        <v>1129</v>
      </c>
      <c r="H202" s="7" t="s">
        <v>23</v>
      </c>
      <c r="I202" s="7" t="s">
        <v>23</v>
      </c>
      <c r="J202" s="7" t="s">
        <v>23</v>
      </c>
      <c r="K202" s="7" t="s">
        <v>23</v>
      </c>
      <c r="L202" s="7" t="s">
        <v>21</v>
      </c>
      <c r="M202" s="6" t="s">
        <v>63</v>
      </c>
      <c r="N202" s="6" t="s">
        <v>1130</v>
      </c>
    </row>
    <row r="203" spans="1:14" x14ac:dyDescent="0.25">
      <c r="A203" s="4">
        <v>201</v>
      </c>
      <c r="B203" s="4" t="s">
        <v>1124</v>
      </c>
      <c r="C203" s="5" t="s">
        <v>1131</v>
      </c>
      <c r="D203" s="6" t="s">
        <v>1132</v>
      </c>
      <c r="E203" s="6" t="s">
        <v>1133</v>
      </c>
      <c r="F203" s="6" t="s">
        <v>1134</v>
      </c>
      <c r="G203" s="6" t="s">
        <v>1135</v>
      </c>
      <c r="H203" s="7" t="s">
        <v>23</v>
      </c>
      <c r="I203" s="7" t="s">
        <v>23</v>
      </c>
      <c r="J203" s="7" t="s">
        <v>23</v>
      </c>
      <c r="K203" s="7" t="s">
        <v>23</v>
      </c>
      <c r="L203" s="7" t="s">
        <v>21</v>
      </c>
      <c r="M203" s="6" t="s">
        <v>63</v>
      </c>
      <c r="N203" s="6" t="s">
        <v>1136</v>
      </c>
    </row>
    <row r="204" spans="1:14" x14ac:dyDescent="0.25">
      <c r="A204" s="4">
        <v>202</v>
      </c>
      <c r="B204" s="4" t="s">
        <v>1124</v>
      </c>
      <c r="C204" s="5" t="s">
        <v>1137</v>
      </c>
      <c r="D204" s="6" t="s">
        <v>1138</v>
      </c>
      <c r="E204" s="6" t="s">
        <v>1139</v>
      </c>
      <c r="F204" s="6" t="s">
        <v>1140</v>
      </c>
      <c r="G204" s="6" t="s">
        <v>1141</v>
      </c>
      <c r="H204" s="7" t="s">
        <v>23</v>
      </c>
      <c r="I204" s="7" t="s">
        <v>23</v>
      </c>
      <c r="J204" s="7" t="s">
        <v>23</v>
      </c>
      <c r="K204" s="7" t="s">
        <v>23</v>
      </c>
      <c r="L204" s="7" t="s">
        <v>21</v>
      </c>
      <c r="M204" s="6" t="s">
        <v>63</v>
      </c>
      <c r="N204" s="6" t="s">
        <v>1142</v>
      </c>
    </row>
    <row r="205" spans="1:14" x14ac:dyDescent="0.25">
      <c r="A205" s="4">
        <v>203</v>
      </c>
      <c r="B205" s="4" t="s">
        <v>1124</v>
      </c>
      <c r="C205" s="5" t="s">
        <v>1143</v>
      </c>
      <c r="D205" s="6" t="s">
        <v>1144</v>
      </c>
      <c r="E205" s="6" t="s">
        <v>1145</v>
      </c>
      <c r="F205" s="6" t="s">
        <v>1146</v>
      </c>
      <c r="G205" s="6" t="s">
        <v>1147</v>
      </c>
      <c r="H205" s="7" t="s">
        <v>23</v>
      </c>
      <c r="I205" s="7" t="s">
        <v>23</v>
      </c>
      <c r="J205" s="7" t="s">
        <v>23</v>
      </c>
      <c r="K205" s="7" t="s">
        <v>23</v>
      </c>
      <c r="L205" s="7" t="s">
        <v>21</v>
      </c>
      <c r="M205" s="6" t="s">
        <v>63</v>
      </c>
      <c r="N205" s="6" t="s">
        <v>1148</v>
      </c>
    </row>
    <row r="206" spans="1:14" x14ac:dyDescent="0.25">
      <c r="A206" s="8">
        <v>204</v>
      </c>
      <c r="B206" s="9" t="s">
        <v>1149</v>
      </c>
      <c r="C206" s="10" t="s">
        <v>1150</v>
      </c>
      <c r="D206" s="11" t="s">
        <v>1151</v>
      </c>
      <c r="E206" s="11" t="s">
        <v>1152</v>
      </c>
      <c r="F206" s="11" t="s">
        <v>1152</v>
      </c>
      <c r="G206" s="11" t="s">
        <v>1153</v>
      </c>
      <c r="H206" s="12" t="s">
        <v>23</v>
      </c>
      <c r="I206" s="12" t="s">
        <v>23</v>
      </c>
      <c r="J206" s="12" t="s">
        <v>23</v>
      </c>
      <c r="K206" s="12" t="s">
        <v>23</v>
      </c>
      <c r="L206" s="12" t="s">
        <v>23</v>
      </c>
      <c r="M206" s="11" t="s">
        <v>63</v>
      </c>
      <c r="N206" s="11" t="s">
        <v>1154</v>
      </c>
    </row>
    <row r="207" spans="1:14" x14ac:dyDescent="0.25">
      <c r="A207" s="8">
        <v>205</v>
      </c>
      <c r="B207" s="9" t="s">
        <v>1149</v>
      </c>
      <c r="C207" s="10" t="s">
        <v>1155</v>
      </c>
      <c r="D207" s="11" t="s">
        <v>1156</v>
      </c>
      <c r="E207" s="11" t="s">
        <v>1152</v>
      </c>
      <c r="F207" s="11" t="s">
        <v>1152</v>
      </c>
      <c r="G207" s="11" t="s">
        <v>1153</v>
      </c>
      <c r="H207" s="12" t="s">
        <v>23</v>
      </c>
      <c r="I207" s="12" t="s">
        <v>23</v>
      </c>
      <c r="J207" s="12" t="s">
        <v>23</v>
      </c>
      <c r="K207" s="12" t="s">
        <v>23</v>
      </c>
      <c r="L207" s="12" t="s">
        <v>23</v>
      </c>
      <c r="M207" s="11" t="s">
        <v>63</v>
      </c>
      <c r="N207" s="11" t="s">
        <v>1157</v>
      </c>
    </row>
    <row r="208" spans="1:14" x14ac:dyDescent="0.25">
      <c r="A208" s="8">
        <v>206</v>
      </c>
      <c r="B208" s="9" t="s">
        <v>1149</v>
      </c>
      <c r="C208" s="10" t="s">
        <v>1158</v>
      </c>
      <c r="D208" s="11" t="s">
        <v>1159</v>
      </c>
      <c r="E208" s="11" t="s">
        <v>1152</v>
      </c>
      <c r="F208" s="11" t="s">
        <v>1152</v>
      </c>
      <c r="G208" s="11" t="s">
        <v>1153</v>
      </c>
      <c r="H208" s="12" t="s">
        <v>23</v>
      </c>
      <c r="I208" s="12" t="s">
        <v>23</v>
      </c>
      <c r="J208" s="12" t="s">
        <v>23</v>
      </c>
      <c r="K208" s="12" t="s">
        <v>23</v>
      </c>
      <c r="L208" s="12" t="s">
        <v>23</v>
      </c>
      <c r="M208" s="11" t="s">
        <v>63</v>
      </c>
      <c r="N208" s="11" t="s">
        <v>1160</v>
      </c>
    </row>
    <row r="211" spans="1:7" x14ac:dyDescent="0.25">
      <c r="A211" s="13" t="s">
        <v>1161</v>
      </c>
      <c r="B211" s="13"/>
      <c r="C211" s="13"/>
      <c r="D211" s="13"/>
      <c r="E211" s="13"/>
      <c r="F211" s="13"/>
      <c r="G211" s="13"/>
    </row>
    <row r="213" spans="3:4" x14ac:dyDescent="0.25">
      <c r="C213" s="3" t="s">
        <v>2</v>
      </c>
      <c r="D213" s="3" t="s">
        <v>1162</v>
      </c>
    </row>
    <row r="214" spans="3:4" x14ac:dyDescent="0.25">
      <c r="C214" s="4" t="s">
        <v>15</v>
      </c>
      <c r="D214" s="14">
        <f>COUNTIF($B$3:$B$208,C214)</f>
        <v>5</v>
      </c>
    </row>
    <row r="215" spans="3:4" x14ac:dyDescent="0.25">
      <c r="C215" s="4" t="s">
        <v>51</v>
      </c>
      <c r="D215" s="14">
        <f>COUNTIF($B$3:$B$208,C215)</f>
        <v>16</v>
      </c>
    </row>
    <row r="216" spans="3:4" x14ac:dyDescent="0.25">
      <c r="C216" s="4" t="s">
        <v>143</v>
      </c>
      <c r="D216" s="14">
        <f>COUNTIF($B$3:$B$208,C216)</f>
        <v>6</v>
      </c>
    </row>
    <row r="217" spans="3:4" x14ac:dyDescent="0.25">
      <c r="C217" s="4" t="s">
        <v>177</v>
      </c>
      <c r="D217" s="14">
        <f>COUNTIF($B$3:$B$208,C217)</f>
        <v>4</v>
      </c>
    </row>
    <row r="218" spans="3:4" x14ac:dyDescent="0.25">
      <c r="C218" s="4" t="s">
        <v>201</v>
      </c>
      <c r="D218" s="14">
        <f>COUNTIF($B$3:$B$208,C218)</f>
        <v>9</v>
      </c>
    </row>
    <row r="219" spans="3:4" x14ac:dyDescent="0.25">
      <c r="C219" s="4" t="s">
        <v>250</v>
      </c>
      <c r="D219" s="14">
        <f>COUNTIF($B$3:$B$208,C219)</f>
        <v>8</v>
      </c>
    </row>
    <row r="220" spans="3:4" x14ac:dyDescent="0.25">
      <c r="C220" s="4" t="s">
        <v>298</v>
      </c>
      <c r="D220" s="14">
        <f>COUNTIF($B$3:$B$208,C220)</f>
        <v>10</v>
      </c>
    </row>
    <row r="221" spans="3:4" x14ac:dyDescent="0.25">
      <c r="C221" s="4" t="s">
        <v>356</v>
      </c>
      <c r="D221" s="14">
        <f>COUNTIF($B$3:$B$208,C221)</f>
        <v>3</v>
      </c>
    </row>
    <row r="222" spans="3:4" x14ac:dyDescent="0.25">
      <c r="C222" s="4" t="s">
        <v>374</v>
      </c>
      <c r="D222" s="14">
        <f>COUNTIF($B$3:$B$208,C222)</f>
        <v>8</v>
      </c>
    </row>
    <row r="223" spans="3:4" x14ac:dyDescent="0.25">
      <c r="C223" s="4" t="s">
        <v>420</v>
      </c>
      <c r="D223" s="14">
        <f>COUNTIF($B$3:$B$208,C223)</f>
        <v>7</v>
      </c>
    </row>
    <row r="224" spans="3:4" x14ac:dyDescent="0.25">
      <c r="C224" s="4" t="s">
        <v>437</v>
      </c>
      <c r="D224" s="14">
        <f>COUNTIF($B$3:$B$208,C224)</f>
        <v>6</v>
      </c>
    </row>
    <row r="225" spans="3:4" x14ac:dyDescent="0.25">
      <c r="C225" s="4" t="s">
        <v>495</v>
      </c>
      <c r="D225" s="14">
        <f>COUNTIF($B$3:$B$208,C225)</f>
        <v>3</v>
      </c>
    </row>
    <row r="226" spans="3:4" x14ac:dyDescent="0.25">
      <c r="C226" s="4" t="s">
        <v>510</v>
      </c>
      <c r="D226" s="14">
        <f>COUNTIF($B$3:$B$208,C226)</f>
        <v>7</v>
      </c>
    </row>
    <row r="227" spans="3:4" x14ac:dyDescent="0.25">
      <c r="C227" s="4" t="s">
        <v>549</v>
      </c>
      <c r="D227" s="14">
        <f>COUNTIF($B$3:$B$208,C227)</f>
        <v>4</v>
      </c>
    </row>
    <row r="228" spans="3:4" x14ac:dyDescent="0.25">
      <c r="C228" s="4" t="s">
        <v>574</v>
      </c>
      <c r="D228" s="14">
        <f>COUNTIF($B$3:$B$208,C228)</f>
        <v>10</v>
      </c>
    </row>
    <row r="229" spans="3:4" x14ac:dyDescent="0.25">
      <c r="C229" s="4" t="s">
        <v>626</v>
      </c>
      <c r="D229" s="14">
        <f>COUNTIF($B$3:$B$208,C229)</f>
        <v>7</v>
      </c>
    </row>
    <row r="230" spans="3:4" x14ac:dyDescent="0.25">
      <c r="C230" s="4" t="s">
        <v>667</v>
      </c>
      <c r="D230" s="14">
        <f>COUNTIF($B$3:$B$208,C230)</f>
        <v>5</v>
      </c>
    </row>
    <row r="231" spans="3:4" x14ac:dyDescent="0.25">
      <c r="C231" s="4" t="s">
        <v>697</v>
      </c>
      <c r="D231" s="14">
        <f>COUNTIF($B$3:$B$208,C231)</f>
        <v>7</v>
      </c>
    </row>
    <row r="232" spans="3:4" x14ac:dyDescent="0.25">
      <c r="C232" s="4" t="s">
        <v>736</v>
      </c>
      <c r="D232" s="14">
        <f>COUNTIF($B$3:$B$208,C232)</f>
        <v>2</v>
      </c>
    </row>
    <row r="233" spans="3:4" x14ac:dyDescent="0.25">
      <c r="C233" s="4" t="s">
        <v>749</v>
      </c>
      <c r="D233" s="14">
        <f>COUNTIF($B$3:$B$208,C233)</f>
        <v>8</v>
      </c>
    </row>
    <row r="234" spans="3:4" x14ac:dyDescent="0.25">
      <c r="C234" s="4" t="s">
        <v>788</v>
      </c>
      <c r="D234" s="14">
        <f>COUNTIF($B$3:$B$208,C234)</f>
        <v>4</v>
      </c>
    </row>
    <row r="235" spans="3:4" x14ac:dyDescent="0.25">
      <c r="C235" s="4" t="s">
        <v>809</v>
      </c>
      <c r="D235" s="14">
        <f>COUNTIF($B$3:$B$208,C235)</f>
        <v>9</v>
      </c>
    </row>
    <row r="236" spans="3:4" x14ac:dyDescent="0.25">
      <c r="C236" s="4" t="s">
        <v>860</v>
      </c>
      <c r="D236" s="14">
        <f>COUNTIF($B$3:$B$208,C236)</f>
        <v>6</v>
      </c>
    </row>
    <row r="237" spans="3:4" x14ac:dyDescent="0.25">
      <c r="C237" s="4" t="s">
        <v>887</v>
      </c>
      <c r="D237" s="14">
        <f>COUNTIF($B$3:$B$208,C237)</f>
        <v>4</v>
      </c>
    </row>
    <row r="238" spans="3:4" x14ac:dyDescent="0.25">
      <c r="C238" s="4" t="s">
        <v>910</v>
      </c>
      <c r="D238" s="14">
        <f>COUNTIF($B$3:$B$208,C238)</f>
        <v>3</v>
      </c>
    </row>
    <row r="239" spans="3:4" x14ac:dyDescent="0.25">
      <c r="C239" s="4" t="s">
        <v>926</v>
      </c>
      <c r="D239" s="14">
        <f>COUNTIF($B$3:$B$208,C239)</f>
        <v>22</v>
      </c>
    </row>
    <row r="240" spans="3:4" x14ac:dyDescent="0.25">
      <c r="C240" s="4" t="s">
        <v>1036</v>
      </c>
      <c r="D240" s="14">
        <f>COUNTIF($B$3:$B$208,C240)</f>
        <v>9</v>
      </c>
    </row>
    <row r="241" spans="3:4" x14ac:dyDescent="0.25">
      <c r="C241" s="4" t="s">
        <v>1084</v>
      </c>
      <c r="D241" s="14">
        <f>COUNTIF($B$3:$B$208,C241)</f>
        <v>7</v>
      </c>
    </row>
    <row r="242" spans="3:4" x14ac:dyDescent="0.25">
      <c r="C242" s="4" t="s">
        <v>1124</v>
      </c>
      <c r="D242" s="14">
        <f>COUNTIF($B$3:$B$208,C242)</f>
        <v>4</v>
      </c>
    </row>
    <row r="243" spans="3:4" x14ac:dyDescent="0.25">
      <c r="C243" s="4" t="s">
        <v>1149</v>
      </c>
      <c r="D243" s="14">
        <f>COUNTIF($B$3:$B$208,C243)</f>
        <v>3</v>
      </c>
    </row>
    <row r="244" spans="3:4" x14ac:dyDescent="0.25">
      <c r="C244" s="4" t="s">
        <v>1163</v>
      </c>
      <c r="D244" s="14">
        <f>SUM(D214:D243)</f>
        <v>206</v>
      </c>
    </row>
    <row r="246" spans="3:4" x14ac:dyDescent="0.25">
      <c r="C246" s="3" t="s">
        <v>13</v>
      </c>
      <c r="D246" s="3" t="s">
        <v>1162</v>
      </c>
    </row>
    <row r="247" spans="3:4" x14ac:dyDescent="0.25">
      <c r="C247" s="4" t="s">
        <v>24</v>
      </c>
      <c r="D247" s="14">
        <f>COUNTIF($M$3:$M$208,C247)</f>
        <v>32</v>
      </c>
    </row>
    <row r="248" spans="3:4" x14ac:dyDescent="0.25">
      <c r="C248" s="4" t="s">
        <v>43</v>
      </c>
      <c r="D248" s="14">
        <f>COUNTIF($M$3:$M$208,C248)</f>
        <v>68</v>
      </c>
    </row>
    <row r="249" spans="3:4" x14ac:dyDescent="0.25">
      <c r="C249" s="4" t="s">
        <v>63</v>
      </c>
      <c r="D249" s="14">
        <f>COUNTIF($M$3:$M$208,C249)</f>
        <v>106</v>
      </c>
    </row>
    <row r="250" spans="3:4" x14ac:dyDescent="0.25">
      <c r="C250" s="4" t="s">
        <v>1163</v>
      </c>
      <c r="D250" s="14">
        <f>SUM(D247:D249)</f>
        <v>206</v>
      </c>
    </row>
    <row r="252" spans="7:12" x14ac:dyDescent="0.25">
      <c r="G252" s="3" t="s">
        <v>1164</v>
      </c>
      <c r="H252" s="3" t="s">
        <v>1165</v>
      </c>
      <c r="I252" s="3" t="s">
        <v>1166</v>
      </c>
      <c r="J252" s="3" t="s">
        <v>1167</v>
      </c>
      <c r="K252" s="3" t="s">
        <v>1168</v>
      </c>
      <c r="L252" s="3" t="s">
        <v>1169</v>
      </c>
    </row>
    <row r="253" spans="7:12" x14ac:dyDescent="0.25">
      <c r="G253" s="4" t="s">
        <v>1170</v>
      </c>
      <c r="H253" s="14">
        <f>COUNTA(H$3:H$208)-COUNTIF(H$3:H$208,"Not Required")</f>
        <v>129</v>
      </c>
      <c r="I253" s="14">
        <f>COUNTA(I$3:I$208)-COUNTIF(I$3:I$208,"Not Required")</f>
        <v>122</v>
      </c>
      <c r="J253" s="14">
        <f>COUNTA(J$3:J$208)-COUNTIF(J$3:J$208,"Not Required")</f>
        <v>52</v>
      </c>
      <c r="K253" s="14">
        <f>COUNTA(K$3:K$208)-COUNTIF(K$3:K$208,"Not Required")</f>
        <v>42</v>
      </c>
      <c r="L253" s="14">
        <f>COUNTA(L$3:L$208)-COUNTIF(L$3:L$208,"Not Required")</f>
        <v>57</v>
      </c>
    </row>
    <row r="254" spans="7:12" x14ac:dyDescent="0.25">
      <c r="G254" s="4" t="s">
        <v>1171</v>
      </c>
      <c r="H254" s="14">
        <f>COUNTIF(H$3:H$208,"Pass")</f>
        <v>0</v>
      </c>
      <c r="I254" s="14">
        <f>COUNTIF(I$3:I$208,"Pass")</f>
        <v>0</v>
      </c>
      <c r="J254" s="14">
        <f>COUNTIF(J$3:J$208,"Pass")</f>
        <v>0</v>
      </c>
      <c r="K254" s="14">
        <f>COUNTIF(K$3:K$208,"Pass")</f>
        <v>0</v>
      </c>
      <c r="L254" s="14">
        <f>COUNTIF(L$3:L$208,"Pass")</f>
        <v>0</v>
      </c>
    </row>
    <row r="255" spans="7:12" x14ac:dyDescent="0.25">
      <c r="G255" s="4" t="s">
        <v>1172</v>
      </c>
      <c r="H255" s="14">
        <f>COUNTIF(H$3:H$208,"Fail")</f>
        <v>0</v>
      </c>
      <c r="I255" s="14">
        <f>COUNTIF(I$3:I$208,"Fail")</f>
        <v>0</v>
      </c>
      <c r="J255" s="14">
        <f>COUNTIF(J$3:J$208,"Fail")</f>
        <v>0</v>
      </c>
      <c r="K255" s="14">
        <f>COUNTIF(K$3:K$208,"Fail")</f>
        <v>0</v>
      </c>
      <c r="L255" s="14">
        <f>COUNTIF(L$3:L$208,"Fail")</f>
        <v>0</v>
      </c>
    </row>
    <row r="256" spans="7:12" x14ac:dyDescent="0.25">
      <c r="G256" s="4" t="s">
        <v>22</v>
      </c>
      <c r="H256" s="14">
        <f>COUNTIF(H$3:H$208,"Can't Test")</f>
        <v>4</v>
      </c>
      <c r="I256" s="14">
        <f>COUNTIF(I$3:I$208,"Can't Test")</f>
        <v>4</v>
      </c>
      <c r="J256" s="14">
        <f>COUNTIF(J$3:J$208,"Can't Test")</f>
        <v>52</v>
      </c>
      <c r="K256" s="14">
        <f>COUNTIF(K$3:K$208,"Can't Test")</f>
        <v>1</v>
      </c>
      <c r="L256" s="14">
        <f>COUNTIF(L$3:L$208,"Can't Test")</f>
        <v>0</v>
      </c>
    </row>
    <row r="257" spans="7:12" x14ac:dyDescent="0.25">
      <c r="G257" s="4" t="s">
        <v>23</v>
      </c>
      <c r="H257" s="14">
        <f>COUNTIF(H$3:H$208,"Not Required")</f>
        <v>77</v>
      </c>
      <c r="I257" s="14">
        <f>COUNTIF(I$3:I$208,"Not Required")</f>
        <v>84</v>
      </c>
      <c r="J257" s="14">
        <f>COUNTIF(J$3:J$208,"Not Required")</f>
        <v>154</v>
      </c>
      <c r="K257" s="14">
        <f>COUNTIF(K$3:K$208,"Not Required")</f>
        <v>164</v>
      </c>
      <c r="L257" s="14">
        <f>COUNTIF(L$3:L$208,"Not Required")</f>
        <v>149</v>
      </c>
    </row>
    <row r="258" spans="7:12" x14ac:dyDescent="0.25">
      <c r="G258" s="4" t="s">
        <v>21</v>
      </c>
      <c r="H258" s="14">
        <f>COUNTIF(H$3:H$208,"Test Pending")</f>
        <v>125</v>
      </c>
      <c r="I258" s="14">
        <f>COUNTIF(I$3:I$208,"Test Pending")</f>
        <v>118</v>
      </c>
      <c r="J258" s="14">
        <f>COUNTIF(J$3:J$208,"Test Pending")</f>
        <v>0</v>
      </c>
      <c r="K258" s="14">
        <f>COUNTIF(K$3:K$208,"Test Pending")</f>
        <v>41</v>
      </c>
      <c r="L258" s="14">
        <f>COUNTIF(L$3:L$208,"Test Pending")</f>
        <v>57</v>
      </c>
    </row>
    <row r="259" spans="7:12" x14ac:dyDescent="0.25">
      <c r="G259" s="4" t="s">
        <v>1173</v>
      </c>
      <c r="H259" s="14">
        <f>COUNTA(H$3:H$208)</f>
        <v>206</v>
      </c>
      <c r="I259" s="14">
        <f>COUNTA(I$3:I$208)</f>
        <v>206</v>
      </c>
      <c r="J259" s="14">
        <f>COUNTA(J$3:J$208)</f>
        <v>206</v>
      </c>
      <c r="K259" s="14">
        <f>COUNTA(K$3:K$208)</f>
        <v>206</v>
      </c>
      <c r="L259" s="14">
        <f>COUNTA(L$3:L$208)</f>
        <v>206</v>
      </c>
    </row>
    <row r="260" spans="7:12" x14ac:dyDescent="0.25">
      <c r="G260" s="4" t="s">
        <v>1174</v>
      </c>
      <c r="H260" s="14">
        <f>IF(H253=0,0,ROUND(H254/H253*100,1))</f>
        <v>0</v>
      </c>
      <c r="I260" s="14">
        <f>IF(I253=0,0,ROUND(I254/I253*100,1))</f>
        <v>0</v>
      </c>
      <c r="J260" s="14">
        <f>IF(J253=0,0,ROUND(J254/J253*100,1))</f>
        <v>0</v>
      </c>
      <c r="K260" s="14">
        <f>IF(K253=0,0,ROUND(K254/K253*100,1))</f>
        <v>0</v>
      </c>
      <c r="L260" s="14">
        <f>IF(L253=0,0,ROUND(L254/L253*100,1))</f>
        <v>0</v>
      </c>
    </row>
  </sheetData>
  <mergeCells count="2">
    <mergeCell ref="A1:C1"/>
    <mergeCell ref="A211:G211"/>
  </mergeCells>
  <dataValidations count="2">
    <dataValidation type="list" allowBlank="1" showErrorMessage="1" sqref="H10:L208">
      <formula1>"Pass,Fail,Can't Test,Not Required,Test Pending"</formula1>
    </dataValidation>
    <dataValidation type="list" allowBlank="1" showErrorMessage="1" sqref="H3:L208">
      <formula1>"Pass,Fail,Can't Test,Not Required,Test Pending"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PII M2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2026-10-26T06:15:28Z</dcterms:created>
  <dcterms:modified xsi:type="dcterms:W3CDTF">2026-10-26T06:15:28Z</dcterms:modified>
</cp:coreProperties>
</file>