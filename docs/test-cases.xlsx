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<sst xmlns="http://schemas.openxmlformats.org/spreadsheetml/2006/main" count="813" uniqueCount="364">
  <si>
    <t>Aisle PII API Automation — API Test Cases   (Aisle API → PII service → DB validation)</t>
  </si>
  <si>
    <t>Last run: 2026-09-29 09:05 UTC  ·  environment staging  ·  projects=api  ·  took 21s</t>
  </si>
  <si>
    <t>Total test cases: 49</t>
  </si>
  <si>
    <t>✔ Pass: 25</t>
  </si>
  <si>
    <t>✘ Fail: 0</t>
  </si>
  <si>
    <t>⚠ Security finding: 1</t>
  </si>
  <si>
    <t>⏸ Blocked: 23</t>
  </si>
  <si>
    <t>— Not Tested / Skipped: 0</t>
  </si>
  <si>
    <t>Pass rate of tests run: 96.2%</t>
  </si>
  <si>
    <t>SUMMARY BY ENDPOINT</t>
  </si>
  <si>
    <t>#</t>
  </si>
  <si>
    <t>Endpoint</t>
  </si>
  <si>
    <t>Method and path</t>
  </si>
  <si>
    <t>Test cases</t>
  </si>
  <si>
    <t>Pass</t>
  </si>
  <si>
    <t>Fail</t>
  </si>
  <si>
    <t>Security finding</t>
  </si>
  <si>
    <t>Blocked</t>
  </si>
  <si>
    <t>Not Tested / Skipped</t>
  </si>
  <si>
    <t>Pass rate</t>
  </si>
  <si>
    <t>Go to</t>
  </si>
  <si>
    <t>GET /api/v1/pii-test/health/ready</t>
  </si>
  <si>
    <t>100%</t>
  </si>
  <si>
    <t>POST /api/v1/pii-test</t>
  </si>
  <si>
    <t>92.3%</t>
  </si>
  <si>
    <t>POST /api/v1/pii-test/read</t>
  </si>
  <si>
    <t>POST /api/v1/pii-test/{field}/search</t>
  </si>
  <si>
    <t>POST /api/v1/pii-test/batch/read</t>
  </si>
  <si>
    <t>POST /api/v1/pii-test/transient/phones</t>
  </si>
  <si>
    <t>N/A</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</si>
  <si>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</si>
  <si>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</si>
  <si>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</si>
  <si>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</si>
  <si>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</si>
  <si>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</si>
  <si>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</si>
  <si>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</si>
  <si>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</si>
  <si>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</si>
  <si>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Case Description</t>
  </si>
  <si>
    <t>Why It Matters</t>
  </si>
  <si>
    <t>Steps</t>
  </si>
  <si>
    <t>Expected Result</t>
  </si>
  <si>
    <t>Type</t>
  </si>
  <si>
    <t>Suite</t>
  </si>
  <si>
    <t>Priority</t>
  </si>
  <si>
    <t>Preconditions</t>
  </si>
  <si>
    <t>Status</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</si>
  <si>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</si>
  <si>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</si>
  <si>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</si>
  <si>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</si>
  <si>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Every other test depends on the service being up. This is the first thing to check when a run fails.</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</si>
  <si>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</si>
  <si>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(question BQ-15).</t>
  </si>
  <si>
    <t>Positive</t>
  </si>
  <si>
    <t>Smoke</t>
  </si>
  <si>
    <t>High</t>
  </si>
  <si>
    <t/>
  </si>
  <si>
    <t>✔ Pass</t>
  </si>
  <si>
    <t>2.  Save PII     POST /api/v1/pii-test        21 test cases  ·  ✔ 12  ·  ✘ 0  ·  ⚠ 1 security finding  ·  ⏸ 8 blocked  ·  — 0</t>
  </si>
  <si>
    <t>What this endpoint does: Create or replace one PII field.</t>
  </si>
  <si>
    <t>AISLE-AUTH-001</t>
  </si>
  <si>
    <r>
      <rPr>
        <b/>
        <color rgb="FF0F172A"/>
      </rPr>
      <t>A save without a token is refused (401) and the saved name stays the same</t>
    </r>
    <r>
      <rPr>
        <color rgb="FF334155"/>
      </rPr>
      <t xml:space="preserve">
Saves a fake name with the token (the secret pass proving the caller is Aisle’s test app), then tries to change it with no Authorization header (the header that carries the token).</t>
    </r>
  </si>
  <si>
    <t>Without this check, anyone on the network could change users’ personal data.</t>
  </si>
  <si>
    <t xml:space="preserve">1. Save fake name A for a new fake user with the token
2. Send a save of fake name B with no Authorization header
3. Read the name with the token</t>
  </si>
  <si>
    <t>401 Unauthorized (refused: not signed in) with no data in the reply. Reading afterwards still returns name A.</t>
  </si>
  <si>
    <t>Security</t>
  </si>
  <si>
    <t>Critical</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</si>
  <si>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</si>
  <si>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</si>
  <si>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The database must hold data for the right owner, and not as readable text; otherwise anyone with database access could read it.</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</si>
  <si>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</si>
  <si>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</si>
  <si>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Database</t>
  </si>
  <si>
    <t>Regression</t>
  </si>
  <si>
    <t>Blocked until QA gets read-only database access and the table layout (question BQ-04). Only look-up (SELECT) queries are ever run.</t>
  </si>
  <si>
    <t>⏸ Blocked</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</si>
  <si>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</si>
  <si>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</si>
  <si>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</si>
  <si>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Updates must not leave old personal data behind in extra records.</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</si>
  <si>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</si>
  <si>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</si>
  <si>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AISLE-DB-003</t>
  </si>
  <si>
    <r>
      <rPr>
        <b/>
        <color rgb="FF0F172A"/>
      </rPr>
      <t>A save refused for a missing token (401) leaves nothing in the database</t>
    </r>
    <r>
      <rPr>
        <color rgb="FF334155"/>
      </rPr>
      <t xml:space="preserve">
Sends a save of a fake name for a new fake user with no token (the secret pass proving the caller is Aisle’s test app), then looks in the database for that user.</t>
    </r>
  </si>
  <si>
    <t>A refused request must leave nothing behind.</t>
  </si>
  <si>
    <t xml:space="preserve">1. Send a save with no token
2. Check it is refused with 401
3. Look up that user in the database</t>
  </si>
  <si>
    <t>401 Unauthorized (refused: not signed in), and no record exists for that user.</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</si>
  <si>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</si>
  <si>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</si>
  <si>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Names cleaned up the same way every time avoid duplicates and untidy display in the app.</t>
  </si>
  <si>
    <t xml:space="preserve">1. Save the messy fake name for a new fake user
2. Read the NAME field back</t>
  </si>
  <si>
    <t>200 OK. The value has the outer spaces removed and each run of inner spaces turned into one space. Capital letters are kept exactly as typed.</t>
  </si>
  <si>
    <t>AISLE-NRM-002</t>
  </si>
  <si>
    <r>
      <rPr>
        <b/>
        <color rgb="FF0F172A"/>
      </rPr>
      <t>A formatted approved test phone is saved as digits only</t>
    </r>
    <r>
      <rPr>
        <color rgb="FF334155"/>
      </rPr>
      <t xml:space="preserve">
Saves an approved test phone number (a number Dev confirmed is nobody’s real phone) written with spaces, dashes and brackets, then reads it back.</t>
    </r>
  </si>
  <si>
    <t>Phones typed in different formats must match the same stored number.</t>
  </si>
  <si>
    <t xml:space="preserve">1. Take an approved test phone from the settings
2. Save it with formatting for a new fake user
3. Read the PHONE field back</t>
  </si>
  <si>
    <t>200 OK. The value is digits only.</t>
  </si>
  <si>
    <t>Blocked: no approved test phone numbers yet, and PHONE access and the phone clean-up rule are not confirmed (question BQ-03).</t>
  </si>
  <si>
    <t>BLOCKED — BQ-03: No approved test phones; PHONE access and phone clean-up rules are not confirmed</t>
  </si>
  <si>
    <t>AISLE-NRM-003</t>
  </si>
  <si>
    <r>
      <rPr>
        <b/>
        <color rgb="FF0F172A"/>
      </rPr>
      <t>A phone that is too short or too long after clean-up is rejected</t>
    </r>
    <r>
      <rPr>
        <color rgb="FF334155"/>
      </rPr>
      <t xml:space="preserve">
Tries to save a 5-digit and a 16-digit value as a phone. Neither can be a real phone number (real international numbers have at most 15 digits).</t>
    </r>
  </si>
  <si>
    <t>Invalid phones would make texts and calls fail.</t>
  </si>
  <si>
    <t xml:space="preserve">1. Save a 5-digit phone for a new fake user
2. Save a 16-digit phone
3. Check both replies</t>
  </si>
  <si>
    <t>Both are refused and nothing is saved. The exact status is waiting on Dev (question BQ-03).</t>
  </si>
  <si>
    <t>Negative</t>
  </si>
  <si>
    <t>Medium</t>
  </si>
  <si>
    <t>Blocked: PHONE access and the phone length rule are not confirmed for the facade (question BQ-03).</t>
  </si>
  <si>
    <t>BLOCKED — BQ-03: PHONE access and the phone length rule are not confirmed for the facade</t>
  </si>
  <si>
    <t>AISLE-SEC-001</t>
  </si>
  <si>
    <r>
      <rPr>
        <b/>
        <color rgb="FF0F172A"/>
      </rPr>
      <t>A tenant ID sent by the caller is ignored or refused: data can never land in another tenant</t>
    </r>
    <r>
      <rPr>
        <color rgb="FF334155"/>
      </rPr>
      <t xml:space="preserve">
Saves a fake name while also sending a made-up tenant (customer account) in the request, then reads it back with and without that made-up tenant.</t>
    </r>
  </si>
  <si>
    <t>If a caller could choose the tenant, Aisle could write into or read another customer’s data.</t>
  </si>
  <si>
    <t xml:space="preserve">1. Send a save of a fake name with an extra made-up tenant
2. Check the reply
3. Read the name with the made-up tenant added
4. Read the name normally</t>
  </si>
  <si>
    <t>Either the save is refused and nothing is saved, or (as seen on staging) it succeeds and every reply shows tenant “aisle”, never the made-up tenant. The normal read returns the fake name under “aisle”. Ignoring versus refusing is Dev’s call (question BQ-06).</t>
  </si>
  <si>
    <t>AISLE-SEC-002</t>
  </si>
  <si>
    <r>
      <rPr>
        <b/>
        <color rgb="FF0F172A"/>
      </rPr>
      <t>Error replies do not repeat the personal value that was sent, or internal details</t>
    </r>
    <r>
      <rPr>
        <color rgb="FF334155"/>
      </rPr>
      <t xml:space="preserve">
Sends a save with the user ID left out, so it fails the format check while it contains a unique fake name, then searches the error reply for that name.</t>
    </r>
  </si>
  <si>
    <t>Error replies end up in logs and monitoring tools. They must not spread personal data or internal details.</t>
  </si>
  <si>
    <t xml:space="preserve">1. Send a save of a fake name with the user ID left out
2. Check the reply is 422 (refused: the request format is invalid)
3. Search the reply for the fake name and for the internal tenant field</t>
  </si>
  <si>
    <t>The reply is 422 and contains neither the fake name nor the internal “tenant_id” field. KNOWN SECURITY FINDING: today the reply repeats both, so this test fails until Dev fixes it (question BQ-08).</t>
  </si>
  <si>
    <t>⚠ Security finding</t>
  </si>
  <si>
    <t>SECURITY FINDING (expected until Dev fixes it) — BQ-08: 422 replies echo the submitted value and the internal tenant_id in detail[].input</t>
  </si>
  <si>
    <t>AISLE-SEC-003</t>
  </si>
  <si>
    <r>
      <rPr>
        <b/>
        <color rgb="FF0F172A"/>
      </rPr>
      <t>Test logs and report files contain no token and no personal data</t>
    </r>
    <r>
      <rPr>
        <color rgb="FF334155"/>
      </rPr>
      <t xml:space="preserve">
Saves and reads a fake name, sends one request that is refused, then scans our own test log and report notes for the token (the secret pass proving the caller is Aisle’s test app) and the fake name.</t>
    </r>
  </si>
  <si>
    <t>QA reports are shared widely. A leaked token or personal value in them would be a security incident.</t>
  </si>
  <si>
    <t xml:space="preserve">1. Save and read a fake name
2. Send one save without a token (it is refused with 401)
3. Scan the test log and report notes for the token and the fake name</t>
  </si>
  <si>
    <t>Neither the token nor the fake name is found anywhere. Request IDs (tracking numbers for each call) are still visible, so problems can be traced.</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</si>
  <si>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</si>
  <si>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</si>
  <si>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Saving personal data is the core job of the service. If new users cannot be saved, nothing else works.</t>
  </si>
  <si>
    <t xml:space="preserve">1. Make a new fake user ID and a fake name
2. Send the save request with the token (the secret pass proving the caller is Aisle’s test app)
3. Check the reply</t>
  </si>
  <si>
    <t>201 Created (a new value was saved) with the message “PII write successful”. The reply shows tenant “aisle” (the customer account the data belongs to), the same user ID, field NAME and a key version (the number of the encryption key used) of 1 or more. The name itself is not repeated in the reply.</t>
  </si>
  <si>
    <t>AISLE-WR-002</t>
  </si>
  <si>
    <r>
      <rPr>
        <b/>
        <color rgb="FF0F172A"/>
      </rPr>
      <t>Saving a name again replaces the old one (200), and read and bulk read both return the new name</t>
    </r>
    <r>
      <rPr>
        <color rgb="FF334155"/>
      </rPr>
      <t xml:space="preserve">
Saves fake name A for a fake test user, then saves fake name B for the same user. Reads the name back with a normal read and with a bulk read (one request for several users).</t>
    </r>
  </si>
  <si>
    <t>If the old value survived an update, users would see outdated or wrong personal details.</t>
  </si>
  <si>
    <t xml:space="preserve">1. Save fake name A for a new fake user
2. Save fake name B for the same user
3. Read the name
4. Bulk read the name for that user</t>
  </si>
  <si>
    <t>The second save returns 200 OK (an existing value was replaced) with “PII write successful” and tenant “aisle”. The normal read and the bulk read both return name B, never name A.</t>
  </si>
  <si>
    <t>AISLE-WR-003</t>
  </si>
  <si>
    <r>
      <rPr>
        <b/>
        <color rgb="FF0F172A"/>
      </rPr>
      <t>Save requests with a missing or wrong-typed field are rejected (422) and the saved name stays the same</t>
    </r>
    <r>
      <rPr>
        <color rgb="FF334155"/>
      </rPr>
      <t xml:space="preserve">
Saves a fake name, then sends three broken save requests: one without a value, one without a user ID, and one with a number instead of text as the value.</t>
    </r>
  </si>
  <si>
    <t>A bug in the app must never overwrite or damage a user’s saved data.</t>
  </si>
  <si>
    <t xml:space="preserve">1. Save a fake name for a new fake user
2. Send a save with no value
3. Send a save with no user ID
4. Send a save with a number as the value
5. Read the name back</t>
  </si>
  <si>
    <t>Each broken request gets 422 (refused: the request format is invalid) with a list naming the wrong field. Reading afterwards still returns the original fake name.</t>
  </si>
  <si>
    <t>AISLE-WR-004</t>
  </si>
  <si>
    <r>
      <rPr>
        <b/>
        <color rgb="FF0F172A"/>
      </rPr>
      <t>Saving an empty value is rejected (422)</t>
    </r>
    <r>
      <rPr>
        <color rgb="FF334155"/>
      </rPr>
      <t xml:space="preserve">
Saves a fake name, then sends a save request whose value is empty text.</t>
    </r>
  </si>
  <si>
    <t>An empty value would wipe a user’s details without anyone meaning to.</t>
  </si>
  <si>
    <t xml:space="preserve">1. Save a fake name for a new fake user
2. Send a save with an empty value
3. Read the name back</t>
  </si>
  <si>
    <t>422 (refused: the request format is invalid) naming the value as too short (the minimum is 1 character). The original fake name is unchanged.</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</si>
  <si>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</si>
  <si>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</si>
  <si>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Real users can have long names. The service must accept everything up to the allowed maximum.</t>
  </si>
  <si>
    <t xml:space="preserve">1. Make a 128-character fake user ID and a 1,024-character fake name
2. Save the name
3. Read it back</t>
  </si>
  <si>
    <t>201 Created (a new value was saved). Reading returns the full 1,024-character name unchanged. These limits were seen on staging and still need Dev’s confirmation (question BQ-05).</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</si>
  <si>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</si>
  <si>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</si>
  <si>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Over-long data could break storage or other systems that read it.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</si>
  <si>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</si>
  <si>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Limits seen on staging; Dev to confirm (question BQ-05).</t>
  </si>
  <si>
    <t>AISLE-WR-007</t>
  </si>
  <si>
    <r>
      <rPr>
        <b/>
        <color rgb="FF0F172A"/>
      </rPr>
      <t>A request body that is not valid JSON is rejected (400 “Invalid JSON”)</t>
    </r>
    <r>
      <rPr>
        <color rgb="FF334155"/>
      </rPr>
      <t xml:space="preserve">
Saves a fake name, then sends a save request whose body is broken JSON (the text format the service expects), with the closing bracket missing.</t>
    </r>
  </si>
  <si>
    <t>Broken input must be refused cleanly, never half-processed.</t>
  </si>
  <si>
    <t xml:space="preserve">1. Save a fake name for a new fake user
2. Send a save with a broken body
3. Read the name back</t>
  </si>
  <si>
    <t>400 Bad Request (refused: the body could not be read) with status false, error “Invalid JSON” and message “Request body must be valid JSON”. The name is unchanged.</t>
  </si>
  <si>
    <t>AISLE-WR-008</t>
  </si>
  <si>
    <r>
      <rPr>
        <b/>
        <color rgb="FF0F172A"/>
      </rPr>
      <t>Saving an unknown field name is refused (403 AUTHORIZATION_DENIED)</t>
    </r>
    <r>
      <rPr>
        <color rgb="FF334155"/>
      </rPr>
      <t xml:space="preserve">
Tries to save a fake value under a field name the service does not know (a made-up field name).</t>
    </r>
  </si>
  <si>
    <t>Only agreed personal fields may be stored. Unknown fields would be data kept outside the rules.</t>
  </si>
  <si>
    <t xml:space="preserve">1. Send a save with a made-up field name and a fake value
2. Check the reply</t>
  </si>
  <si>
    <t>403 Forbidden (refused: access denied) with the error code AUTHORIZATION_DENIED, as seen on staging. Whether this should be a validation error instead is Dev’s call (question BQ-12).</t>
  </si>
  <si>
    <t>AISLE-WR-009</t>
  </si>
  <si>
    <r>
      <rPr>
        <b/>
        <color rgb="FF0F172A"/>
      </rPr>
      <t>An email without “@” is rejected and nothing is saved</t>
    </r>
    <r>
      <rPr>
        <color rgb="FF334155"/>
      </rPr>
      <t xml:space="preserve">
Tries to save a fake email that has no “@” in it, then checks nothing was saved.</t>
    </r>
  </si>
  <si>
    <t>Broken emails would make password resets and notifications fail without anyone noticing.</t>
  </si>
  <si>
    <t xml:space="preserve">1. Send a save for the EMAIL field with a fake value that has no “@”
2. Check the reply
3. Read EMAIL for that user</t>
  </si>
  <si>
    <t>The save is refused (400 or 422: the value breaks a rule; Dev to confirm which, question BQ-01). Reading EMAIL returns 404 (not found): nothing was saved.</t>
  </si>
  <si>
    <t>Blocked until Dev gives the Aisle caller access to EMAIL (question BQ-01). Today it returns 403 (access denied) because access is checked before the value (question BQ-14).</t>
  </si>
  <si>
    <t>BLOCKED — BQ-01: EMAIL access not granted to the Aisle caller (permission is checked first, BQ-14) — observed POST /api/v1/pii-test -&gt; HTTP 403 code=AUTHORIZATION_DENIED (requestId=db000c5f-40fd-455a-be70-e2ac0b87b239, 108ms)</t>
  </si>
  <si>
    <t>POC-001</t>
  </si>
  <si>
    <r>
      <rPr>
        <b/>
        <color rgb="FF0F172A"/>
      </rPr>
      <t>Saving a fake email through Aisle returns 201 and confirms the saved field</t>
    </r>
    <r>
      <rPr>
        <color rgb="FF334155"/>
      </rPr>
      <t xml:space="preserve">
Saves a messy fake email (mixed case, spaces around it) for a brand-new fake test user through the Aisle facade (Aisle’s front door to the PII service).</t>
    </r>
  </si>
  <si>
    <t>Email is the first real personal field Aisle will store. If saving fails or the email is attached to the wrong user, sign-up and profile features break.</t>
  </si>
  <si>
    <t xml:space="preserve">1. Make a new fake user ID and a fake email for this run
2. Send the save request for the EMAIL field with the token (the secret pass proving the caller is Aisle’s test app)
3. Check the reply</t>
  </si>
  <si>
    <t>201 Created (a new value was saved) with the message “PII write successful”. The reply names tenant “aisle” (the customer account the data belongs to), the same user ID, the field EMAIL and a key version (the number of the encryption key used) of 1 or more. The email itself is not repeated in the reply.</t>
  </si>
  <si>
    <t>Blocked until Dev gives the Aisle caller access to EMAIL (question BQ-01). Today the save returns 403 (refused: access denied), and the report shows that real reply.</t>
  </si>
  <si>
    <t>BLOCKED — BQ-01: EMAIL access not granted to the Aisle caller — observed POST /api/v1/pii-test -&gt; HTTP 403 code=AUTHORIZATION_DENIED (requestId=5d1c33f8-0156-4729-9061-cf424787d29e, 95ms)</t>
  </si>
  <si>
    <t>POC-003</t>
  </si>
  <si>
    <r>
      <rPr>
        <b/>
        <color rgb="FF0F172A"/>
      </rPr>
      <t>The saved fake email is in the database for the right user, and its readable text is not there</t>
    </r>
    <r>
      <rPr>
        <color rgb="FF334155"/>
      </rPr>
      <t xml:space="preserve">
Saves a messy fake email, then looks up the stored record with an approved read-only database query (it can only look, never change anything).</t>
    </r>
  </si>
  <si>
    <t>If the email were stored as readable text, anyone with database access could read users’ emails.</t>
  </si>
  <si>
    <t xml:space="preserve">1. Save a messy fake email for a new fake user
2. Run the read-only query for that user and the EMAIL field
3. Check the user, field, tenant (the customer account) and key version (the number of the encryption key used)
4. Search the stored value for the email as plain text, hex and Base64 (common ways to write text as characters)</t>
  </si>
  <si>
    <t>Exactly one record for that user and EMAIL, under the same tenant as the save reply. Its key version matches the save reply (if the database stores one). Neither the typed nor the cleaned email appears in any readable form. This only shows the email is not readable. It does not prove it is encrypted; the encryption format is still waiting on Dev (question BQ-04).</t>
  </si>
  <si>
    <t>Blocked until QA gets read-only database access and the table layout (question BQ-04), and EMAIL access is granted (question BQ-01).</t>
  </si>
  <si>
    <t>3.  Read PII     POST /api/v1/pii-test/read        9 test cases  ·  ✔ 5  ·  ✘ 0  ·  ⏸ 4 blocked  ·  — 0</t>
  </si>
  <si>
    <t>What this endpoint does: Read selected PII fields for one user.</t>
  </si>
  <si>
    <t>AISLE-AUTH-002</t>
  </si>
  <si>
    <r>
      <rPr>
        <b/>
        <color rgb="FF0F172A"/>
      </rPr>
      <t>A wrong token is refused (401) and no data is returned</t>
    </r>
    <r>
      <rPr>
        <color rgb="FF334155"/>
      </rPr>
      <t xml:space="preserve">
Saves a fake name, then tries to read it using a made-up token (the secret pass that proves who is calling).</t>
    </r>
  </si>
  <si>
    <t>A guessed or old token must never give access to personal data.</t>
  </si>
  <si>
    <t xml:space="preserve">1. Save a fake name for a new fake user with the real token
2. Read it with a made-up token
3. Check the reply</t>
  </si>
  <si>
    <t>401 Unauthorized (refused: not signed in). The reply contains no data and does not contain the name.</t>
  </si>
  <si>
    <t>AISLE-AUTH-003</t>
  </si>
  <si>
    <r>
      <rPr>
        <b/>
        <color rgb="FF0F172A"/>
      </rPr>
      <t>A badly formed Authorization header is refused (401)</t>
    </r>
    <r>
      <rPr>
        <color rgb="FF334155"/>
      </rPr>
      <t xml:space="preserve">
Sends read requests with three badly formed Authorization headers (the header that carries the token): “Token abc”, the word “Bearer” with nothing after it, and a “Basic” user-and-password header with made-up details.</t>
    </r>
  </si>
  <si>
    <t>Careless checking of this header is a common way to get around sign-in.</t>
  </si>
  <si>
    <t xml:space="preserve">1. Send the three reads with the badly formed headers
2. Check each reply</t>
  </si>
  <si>
    <t>All three get 401 Unauthorized (refused: not signed in) with no data. Not covered here: the facade also accepts the real token without the word “Bearer” or with lower-case “bearer”; whether that is intended is waiting on Dev (question BQ-17).</t>
  </si>
  <si>
    <t>AISLE-AUTH-005</t>
  </si>
  <si>
    <r>
      <rPr>
        <b/>
        <color rgb="FF0F172A"/>
      </rPr>
      <t>An expired token is refused (401)</t>
    </r>
    <r>
      <rPr>
        <color rgb="FF334155"/>
      </rPr>
      <t xml:space="preserve">
Tries to read a fake user’s name with a token (the secret pass that proves who is calling) that has already expired.</t>
    </r>
  </si>
  <si>
    <t>Old tokens found in logs or on lost devices must stop working.</t>
  </si>
  <si>
    <t xml:space="preserve">1. Send a read request with the expired test token
2. Check the reply</t>
  </si>
  <si>
    <t>401 Unauthorized (refused: not signed in) with no data.</t>
  </si>
  <si>
    <t>Blocked until Dev provides an expired test token (question BQ-11).</t>
  </si>
  <si>
    <t>BLOCKED — BQ-11: No expired test token configured</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</si>
  <si>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</si>
  <si>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</si>
  <si>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Reading back exactly what was saved is the basic promise of the service.</t>
  </si>
  <si>
    <t xml:space="preserve">1. Save a fake name for a new fake user
2. Send a read request asking for NAME
3. Check the reply</t>
  </si>
  <si>
    <t>200 OK with the message “PII read successful”. Count is 1. The single item has tenant “aisle” (the customer account the data belongs to), that user ID, field NAME and exactly the saved name.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</si>
  <si>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</si>
  <si>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</si>
  <si>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Screens often ask for several fields at once. A field that is missing must not hide the ones that exist.</t>
  </si>
  <si>
    <t xml:space="preserve">1. Save a fake name for a new fake user
2. Send one read request asking for NAME and EMAIL
3. Check which items come back</t>
  </si>
  <si>
    <t>200 OK. Count is 1 and only the NAME item is returned, with the saved name. Dev still has to confirm that missing fields are simply left out (question BQ-01).</t>
  </si>
  <si>
    <t>Blocked until Dev gives the Aisle caller access to EMAIL (question BQ-01). Today this read returns 403 (refused: access denied).</t>
  </si>
  <si>
    <t>BLOCKED — BQ-01: EMAIL access not granted to the Aisle caller — observed POST /api/v1/pii-test/read -&gt; HTTP 403 code=AUTHORIZATION_DENIED (requestId=77ad4cc1-a5f1-4372-b113-c348cfb85f4f, 99ms)</t>
  </si>
  <si>
    <t>AISLE-RD-003</t>
  </si>
  <si>
    <r>
      <rPr>
        <b/>
        <color rgb="FF0F172A"/>
      </rPr>
      <t>Reading a user who has nothing saved returns 404 PII_NOT_FOUND</t>
    </r>
    <r>
      <rPr>
        <color rgb="FF334155"/>
      </rPr>
      <t xml:space="preserve">
Reads the NAME field for a fake user ID that was never used.</t>
    </r>
  </si>
  <si>
    <t>The app must be able to tell “no data yet” apart from a failure.</t>
  </si>
  <si>
    <t xml:space="preserve">1. Make a fake user ID that was never saved
2. Send a read request for its NAME</t>
  </si>
  <si>
    <t>404 Not Found with the message “PII value not found” and the error code PII_NOT_FOUND. No values are returned.</t>
  </si>
  <si>
    <t>AISLE-RD-004</t>
  </si>
  <si>
    <r>
      <rPr>
        <b/>
        <color rgb="FF0F172A"/>
      </rPr>
      <t>A read request with an empty field list or without a user ID is rejected (422)</t>
    </r>
    <r>
      <rPr>
        <color rgb="FF334155"/>
      </rPr>
      <t xml:space="preserve">
Sends two broken read requests: one asking for an empty list of fields, one with no user ID.</t>
    </r>
  </si>
  <si>
    <t>Broken requests must be refused, never answered with someone’s data.</t>
  </si>
  <si>
    <t xml:space="preserve">1. Send a read with an empty field list
2. Send a read with no user ID</t>
  </si>
  <si>
    <t>Both get 422 (refused: the request format is invalid), naming the field list and the user ID respectively. No values are returned.</t>
  </si>
  <si>
    <t>AISLE-SEC-004</t>
  </si>
  <si>
    <r>
      <rPr>
        <b/>
        <color rgb="FF0F172A"/>
      </rPr>
      <t>The test token cannot read another user’s data</t>
    </r>
    <r>
      <rPr>
        <color rgb="FF334155"/>
      </rPr>
      <t xml:space="preserve">
Tries to read the NAME of the configured “other” test user (a synthetic account, not a real person) with our test token (the secret pass that proves who is calling).</t>
    </r>
  </si>
  <si>
    <t>If any token can read any user, one leaked token exposes everyone.</t>
  </si>
  <si>
    <t xml:space="preserve">1. Send a read for the other test user’s NAME
2. Check the reply</t>
  </si>
  <si>
    <t>Refused and no data returned. The exact status is waiting on Dev (question BQ-07).</t>
  </si>
  <si>
    <t>Blocked: today any made-up user ID can be read and written with the same token. Whether that is intended is Dev’s decision (question BQ-07).</t>
  </si>
  <si>
    <t>BLOCKED — BQ-07: Whether one token may read any user ID is Dev’s decision (today it can)</t>
  </si>
  <si>
    <t>POC-002</t>
  </si>
  <si>
    <r>
      <rPr>
        <b/>
        <color rgb="FF0F172A"/>
      </rPr>
      <t>Reading a saved fake email returns it cleaned up: lower case, no extra spaces</t>
    </r>
    <r>
      <rPr>
        <color rgb="FF334155"/>
      </rPr>
      <t xml:space="preserve">
Saves a messy fake email for a new fake test user, then reads the EMAIL field back through the Aisle facade (Aisle’s front door to the PII service).</t>
    </r>
  </si>
  <si>
    <t>Aisle compares and shows emails. If the stored email is not cleaned up the same way every time, logins and look-ups can fail.</t>
  </si>
  <si>
    <t xml:space="preserve">1. Save a messy fake email (capitals and spaces around it) for a new fake user
2. Send a read request for that user asking for EMAIL
3. Compare the returned value with the expected clean form</t>
  </si>
  <si>
    <t>200 OK with the message “PII read successful”. Exactly one item (count 1) for that user, tenant “aisle” (the customer account the data belongs to) and field EMAIL. The value is the fake email in lower case with the outer spaces removed. This clean-up rule still has to be confirmed by Dev (question BQ-01).</t>
  </si>
  <si>
    <t>Blocked until Dev gives the Aisle caller access to EMAIL (question BQ-01). Today EMAIL calls return 403 (refused: access denied).</t>
  </si>
  <si>
    <t>BLOCKED — BQ-01: EMAIL access not granted to the Aisle caller — observed POST /api/v1/pii-test -&gt; HTTP 403 code=AUTHORIZATION_DENIED (requestId=339ea733-9a88-4d08-9b7f-608cc3ac7b9e, 208ms)</t>
  </si>
  <si>
    <t>4.  Search PII     POST /api/v1/pii-test/{field}/search        5 test cases  ·  ✔ 1  ·  ✘ 0  ·  ⏸ 4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</si>
  <si>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</si>
  <si>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</si>
  <si>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</si>
  <si>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Aisle looks users up by email. Search must ignore case and spacing, and must not hand out emails nobody asked for.</t>
  </si>
  <si>
    <t xml:space="preserve">1. Save a fake email for a new fake user
2. Search the EMAIL field for the same email in capitals with spaces around it, with values off
3. Check the results</t>
  </si>
  <si>
    <t>200 OK. The fake user ID is in the results, and no result contains an email value. The reply format and the case/space rule still need Dev’s confirmation (question BQ-01).</t>
  </si>
  <si>
    <t>Blocked until Dev gives the Aisle caller EMAIL and search access (question BQ-01). Today search returns 403 (refused: access denied), and the report shows that real reply.</t>
  </si>
  <si>
    <t>BLOCKED — BQ-01: EMAIL access not granted to the Aisle caller — observed POST /api/v1/pii-test -&gt; HTTP 403 code=AUTHORIZATION_DENIED (requestId=9aa7fe52-f23e-452d-bde8-decdf4b444db, 164ms)</t>
  </si>
  <si>
    <t>AISLE-SR-002</t>
  </si>
  <si>
    <r>
      <rPr>
        <b/>
        <color rgb="FF0F172A"/>
      </rPr>
      <t>Searching with values switched on returns the cleaned-up email</t>
    </r>
    <r>
      <rPr>
        <color rgb="FF334155"/>
      </rPr>
      <t xml:space="preserve">
Saves a fake email for a new fake test user, then searches for it with values switched on.</t>
    </r>
  </si>
  <si>
    <t>Callers that are allowed to see values must get the clean stored form.</t>
  </si>
  <si>
    <t xml:space="preserve">1. Save a fake email for a new fake user
2. Search the EMAIL field with values on
3. Check the result</t>
  </si>
  <si>
    <t>200 OK. The result for the fake user contains the email in lower case with outer spaces removed. Reply format to be confirmed by Dev (question BQ-01).</t>
  </si>
  <si>
    <t>BLOCKED — BQ-01: EMAIL access not granted to the Aisle caller — observed POST /api/v1/pii-test -&gt; HTTP 403 code=AUTHORIZATION_DENIED (requestId=7aeec81f-b401-4582-b0b9-f5ebf1a8479b, 129ms)</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</si>
  <si>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</si>
  <si>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</si>
  <si>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The limit keeps results small and safe. The caller must be told that more matches exist.</t>
  </si>
  <si>
    <t xml:space="preserve">1. Save one fake email for two new fake users
2. Search for that email with limit 1
3. Check the number of results and the “truncated” flag (a yes/no that says results were cut off)</t>
  </si>
  <si>
    <t>200 OK. Exactly 1 result, and “truncated” is true. The meaning of “truncated” still needs Dev’s confirmation (question BQ-01).</t>
  </si>
  <si>
    <t>BLOCKED — BQ-01: EMAIL access not granted to the Aisle caller — observed POST /api/v1/pii-test -&gt; HTTP 403 code=AUTHORIZATION_DENIED (requestId=6f9539fe-eceb-47cb-a2a3-64520eb17593, 96ms)</t>
  </si>
  <si>
    <t>AISLE-SR-004</t>
  </si>
  <si>
    <r>
      <rPr>
        <b/>
        <color rgb="FF0F172A"/>
      </rPr>
      <t>A search limit outside 1–100 is rejected (422)</t>
    </r>
    <r>
      <rPr>
        <color rgb="FF334155"/>
      </rPr>
      <t xml:space="preserve">
Searches for a fake email with a limit (the most results to return) of 0, then of 101.</t>
    </r>
  </si>
  <si>
    <t>Unlimited searches could be used to pull out large amounts of personal data.</t>
  </si>
  <si>
    <t xml:space="preserve">1. Search with limit 0
2. Search with limit 101</t>
  </si>
  <si>
    <t>Both get 422 (refused: the request format is invalid), naming the limit as below 1 or above 100. No results are returned. This runs today: the format check happens before the access check (question BQ-14). Range seen on staging; Dev to confirm (question BQ-05).</t>
  </si>
  <si>
    <t>AISLE-SR-005</t>
  </si>
  <si>
    <r>
      <rPr>
        <b/>
        <color rgb="FF0F172A"/>
      </rPr>
      <t>Searching an email nobody has returns an empty result</t>
    </r>
    <r>
      <rPr>
        <color rgb="FF334155"/>
      </rPr>
      <t xml:space="preserve">
Searches for a fake email that was never saved.</t>
    </r>
  </si>
  <si>
    <t>The app must handle “no match” without errors and without other people’s data.</t>
  </si>
  <si>
    <t xml:space="preserve">1. Make a fake email that was never saved
2. Search for it
3. Check the reply</t>
  </si>
  <si>
    <t>An empty result. Whether that is 200 OK with a count of 0 or 404 (not found) is waiting on Dev (question BQ-13).</t>
  </si>
  <si>
    <t>Blocked until Dev gives the Aisle caller EMAIL and search access (question BQ-01). Today search returns 403 (refused: access denied), and the report shows that real reply. After access is granted it stays blocked until Dev answers question BQ-13.</t>
  </si>
  <si>
    <t>BLOCKED — BQ-01: EMAIL search access not granted to the Aisle caller — observed POST /api/v1/pii-test/EMAIL/search -&gt; HTTP 403 code=AUTHORIZATION_DENIED (requestId=fb108a80-152a-4c76-96ba-4daf942be1f6, 94ms)</t>
  </si>
  <si>
    <t>5.  Bulk read PII     POST /api/v1/pii-test/batch/read        3 test cases  ·  ✔ 3  ·  ✘ 0  ·  — 0</t>
  </si>
  <si>
    <t>What this endpoint does: Read fields for multiple users in one set-based query.</t>
  </si>
  <si>
    <t>AISLE-BR-001</t>
  </si>
  <si>
    <r>
      <rPr>
        <b/>
        <color rgb="FF0F172A"/>
      </rPr>
      <t>Bulk read of names for two fake users returns both names</t>
    </r>
    <r>
      <rPr>
        <color rgb="FF334155"/>
      </rPr>
      <t xml:space="preserve">
Saves fake names for two new fake test users, then reads both in one bulk read (one request for several users).</t>
    </r>
  </si>
  <si>
    <t>Screens that list many users use bulk read. Each user must get exactly their own data.</t>
  </si>
  <si>
    <t xml:space="preserve">1. Save a fake name for user A and for user B
2. Send one bulk read for NAME for both users
3. Match each returned item to its user</t>
  </si>
  <si>
    <t>200 OK with the message “PII batch read successful” and tenant “aisle” (the customer account the data belongs to). Count is 2. Each user’s item carries exactly that user’s name.</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</si>
  <si>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</si>
  <si>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</si>
  <si>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The rule seen on staging is all-or-nothing, so callers never get a silently incomplete list.</t>
  </si>
  <si>
    <t xml:space="preserve">1. Save a fake name for user A
2. Send one bulk read for NAME for user A and an unused fake user ID</t>
  </si>
  <si>
    <t>404 Not Found with the error code PII_NOT_FOUND for the whole request. No values are returned.</t>
  </si>
  <si>
    <t>AISLE-BR-003</t>
  </si>
  <si>
    <r>
      <rPr>
        <b/>
        <color rgb="FF0F172A"/>
      </rPr>
      <t>Bulk reads with an empty user list or more than 200 users are rejected (422)</t>
    </r>
    <r>
      <rPr>
        <color rgb="FF334155"/>
      </rPr>
      <t xml:space="preserve">
Sends a bulk read with an empty list of user IDs, then one with 201 fake user IDs.</t>
    </r>
  </si>
  <si>
    <t>Very large bulk reads could pull out personal data in bulk or overload the service.</t>
  </si>
  <si>
    <t xml:space="preserve">1. Send a bulk read with no user IDs
2. Send a bulk read with 201 fake user IDs</t>
  </si>
  <si>
    <t>Both get 422 (refused: the request format is invalid), naming the user ID list as too short or too long. The exact maximum is still open: a bulk read of exactly 200 users returned 403 (access denied) on staging, so it is not checked here (question BQ-18).</t>
  </si>
  <si>
    <t>6.  Create temporary phone     POST /api/v1/pii-test/transient/phones        1 test cases  ·  ✔ 0  ·  ✘ 0  ·  ⏸ 1 blocked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</si>
  <si>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</si>
  <si>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</si>
  <si>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</si>
  <si>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Sign-up flows hold a phone before the user exists. The record must be created and must expire.</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</si>
  <si>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</si>
  <si>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</si>
  <si>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Blocked until approved test phone numbers are provided (question BQ-03) and Dev gives the Aisle caller temporary-phone access (question BQ-02). Today these calls return 403 (refused: access denied).</t>
  </si>
  <si>
    <t>BLOCKED — BQ-03: No approved test phone numbers configured (AISLE_TEST_PHONES)</t>
  </si>
  <si>
    <t>7.  Look up temporary phone     POST /api/v1/pii-test/transient/phones/resolve        2 test cases  ·  ✔ 0  ·  ✘ 0  ·  ⏸ 2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</si>
  <si>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</si>
  <si>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</si>
  <si>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</si>
  <si>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The app must get the phone back, and browsers or proxies must not keep a copy of it.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</si>
  <si>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</si>
  <si>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</si>
  <si>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AISLE-TR-004</t>
  </si>
  <si>
    <r>
      <rPr>
        <b/>
        <color rgb="FF0F172A"/>
      </rPr>
      <t>An unknown temporary ID returns 404; a badly formed ID returns 422</t>
    </r>
    <r>
      <rPr>
        <color rgb="FF334155"/>
      </rPr>
      <t xml:space="preserve">
Looks up a made-up but correctly formed temporary ID, then a badly formed one.</t>
    </r>
  </si>
  <si>
    <t>Guessing IDs must not reveal anything.</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</si>
  <si>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</si>
  <si>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</si>
  <si>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8.  Promote temporary phone     POST /api/v1/pii-test/transient/phones/promote        1 test cases  ·  ✔ 0  ·  ✘ 0  ·  ⏸ 1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</si>
  <si>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</si>
  <si>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</si>
  <si>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</si>
  <si>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 temporary number must become permanent only once, so it cannot be reused or stolen later.</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</si>
  <si>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</si>
  <si>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</si>
  <si>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9.  Create encryption key     POST /api/v1/pii-test/free-text/keys        1 test cases  ·  ✔ 0  ·  ✘ 0  ·  ⏸ 1 blocked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</si>
  <si>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</si>
  <si>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</si>
  <si>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</si>
  <si>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Notes are encrypted with this key. It must be the right strength, must never be kept in caches and must never end up in our logs.</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</si>
  <si>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</si>
  <si>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</si>
  <si>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Blocked until Dev gives the Aisle caller free-text key access (question BQ-02). Today these calls return 403 (refused: access denied).</t>
  </si>
  <si>
    <t>BLOCKED — BQ-02: Free-text key access not granted to the Aisle caller — observed POST /api/v1/pii-test/free-text/keys -&gt; HTTP 403 code=AUTHORIZATION_DENIED (requestId=cd90fecd-9dba-4f07-8c4d-4d532b5cb7a9, 278ms)</t>
  </si>
  <si>
    <t>10.  Read encryption key     POST /api/v1/pii-test/free-text/keys/read        1 test cases  ·  ✔ 0  ·  ✘ 0  ·  ⏸ 1 blocked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</si>
  <si>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</si>
  <si>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</si>
  <si>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</si>
  <si>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Encrypted notes can only be opened again with exactly the same key.</t>
  </si>
  <si>
    <t xml:space="preserve">1. Create a key
2. Send the read-key request with its key ID
3. Compare the two keys</t>
  </si>
  <si>
    <t>200 OK with the same key, and the header “Cache-Control: no-store” (tells browsers and proxies not to keep a copy). To be confirmed by Dev (question BQ-02).</t>
  </si>
  <si>
    <t>BLOCKED — BQ-02: Free-text key access not granted to the Aisle caller — observed POST /api/v1/pii-test/free-text/keys -&gt; HTTP 403 code=AUTHORIZATION_DENIED (requestId=dc13a560-5872-45df-926a-e53e1483aa21, 391ms)</t>
  </si>
  <si>
    <t>11.  Revoke encryption key     POST /api/v1/pii-test/free-text/keys/revoke        1 test cases  ·  ✔ 0  ·  ✘ 0  ·  ⏸ 1 blocked  ·  — 0</t>
  </si>
  <si>
    <t>What this endpoint does: Revoke a caller-owned key.</t>
  </si>
  <si>
    <t>AISLE-FT-003</t>
  </si>
  <si>
    <r>
      <rPr>
        <b/>
        <color rgb="FF0F172A"/>
      </rPr>
      <t>A revoked key can no longer be read or revoked again (404), and unknown key IDs return 404</t>
    </r>
    <r>
      <rPr>
        <color rgb="FF334155"/>
      </rPr>
      <t xml:space="preserve">
Creates and revokes (permanently switches off) a free-text key, then tries to read it and revoke it again. Also reads a made-up key ID.</t>
    </r>
  </si>
  <si>
    <t>Revoking must really switch a key off, for example after it leaked.</t>
  </si>
  <si>
    <t xml:space="preserve">1. Create a key
2. Revoke it
3. Read it and revoke it again
4. Read a made-up key ID</t>
  </si>
  <si>
    <t>Revoke returns 200 OK with status REVOKED. The later read, the second revoke and the made-up key ID all return 404 (not found). To be confirmed by Dev (question BQ-02).</t>
  </si>
  <si>
    <t>BLOCKED — BQ-02: Free-text key access not granted to the Aisle caller — observed POST /api/v1/pii-test/free-text/keys -&gt; HTTP 403 code=AUTHORIZATION_DENIED (requestId=4cc7cc72-a30b-4ac8-9486-f3e1ebb9eb0d, 216ms)</t>
  </si>
  <si>
    <t>12.  Across endpoints     several endpoints        3 test cases  ·  ✔ 3  ·  ✘ 0  ·  — 0</t>
  </si>
  <si>
    <t>What this endpoint does: Checks that span several or all endpoints.</t>
  </si>
  <si>
    <t>AISLE-AUTH-004</t>
  </si>
  <si>
    <r>
      <rPr>
        <b/>
        <color rgb="FF0F172A"/>
      </rPr>
      <t>Every Aisle PII endpoint refuses a request without a token (401)</t>
    </r>
    <r>
      <rPr>
        <color rgb="FF334155"/>
      </rPr>
      <t xml:space="preserve">
Calls all 11 Aisle facade endpoints (the service’s web addresses) with no token and harmless fake request bodies (no real phone numbers or IDs).</t>
    </r>
  </si>
  <si>
    <t>One unprotected endpoint would be enough to leak personal data.</t>
  </si>
  <si>
    <t xml:space="preserve">1. For each endpoint, send a request with no Authorization header (the header that carries the token)
2. Collect every endpoint that did not answer 401</t>
  </si>
  <si>
    <t>Every endpoint answers 401 Unauthorized (refused: not signed in) with no data. Seen on staging for health, read and save; this run confirms the others (question BQ-09).</t>
  </si>
  <si>
    <t>AISLE-CON-001</t>
  </si>
  <si>
    <r>
      <rPr>
        <b/>
        <color rgb="FF0F172A"/>
      </rPr>
      <t>Success replies contain exactly the agreed fields</t>
    </r>
    <r>
      <rPr>
        <color rgb="FF334155"/>
      </rPr>
      <t xml:space="preserve">
Calls health, save, read and bulk read (one request for several users) with fake data, and compares the field names in each reply with the list seen on staging.</t>
    </r>
  </si>
  <si>
    <t>Apps break without warning when reply fields appear, disappear or get renamed.</t>
  </si>
  <si>
    <t xml:space="preserve">1. Call health, save a fake name, read it, and bulk read two fake users
2. Compare each reply’s field names with the agreed list</t>
  </si>
  <si>
    <t>Every reply has exactly status, message, data and error. The data has exactly the fields seen today (for example, a save has tenant_id, user_id, field and key_version). The tenant (customer account) is always “aisle”. Only field names are compared, never values.</t>
  </si>
  <si>
    <t>Contract</t>
  </si>
  <si>
    <t>AISLE-CON-002</t>
  </si>
  <si>
    <r>
      <rPr>
        <b/>
        <color rgb="FF0F172A"/>
      </rPr>
      <t>Error replies keep their current format (401 empty, 400 “Invalid JSON”, 422 list of problems)</t>
    </r>
    <r>
      <rPr>
        <color rgb="FF334155"/>
      </rPr>
      <t xml:space="preserve">
Triggers three kinds of error (a read with no token, a save with a broken body and a save with an empty value) and records the format of each reply.</t>
    </r>
  </si>
  <si>
    <t>Apps must read error replies reliably. This catches format changes early.</t>
  </si>
  <si>
    <t xml:space="preserve">1. Send a read with no token and check the 401 reply
2. Send a save with a broken body and check the 400 reply
3. Send a save with an empty value and check the 422 reply</t>
  </si>
  <si>
    <t>401 (refused: not signed in): empty body, sent as a web page (text/html). 400 (refused: body could not be read): exactly status false, error “Invalid JSON” and message “Request body must be valid JSON”. 422 (refused: request format invalid): only a “detail” list of problems. These are today’s formats; the intended single format is waiting on Dev (question BQ-09).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</si>
</sst>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1"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6B1D5E"/>
    </font>
    <font>
      <b/>
      <color rgb="FF9C5700"/>
    </font>
    <font>
      <b/>
      <color rgb="FFFFFFFF"/>
      <sz val="13"/>
    </font>
    <font>
      <b/>
      <u/>
      <color rgb="FFFFFFFF"/>
    </font>
    <font>
      <i/>
      <color rgb="FF1E3A8A"/>
      <sz val="10"/>
    </font>
    <font>
      <b/>
      <sz val="10"/>
      <name val="Menlo"/>
    </font>
    <font>
      <color rgb="FF334155"/>
    </font>
    <font>
      <b/>
      <color rgb="FF6D28D9"/>
    </font>
    <font>
      <b/>
      <color rgb="FFC2410C"/>
    </font>
    <font>
      <i/>
      <color rgb="FF64748B"/>
    </font>
    <font>
      <b/>
      <color rgb="FFB91C1C"/>
    </font>
    <font>
      <color rgb="FF9C5700"/>
    </font>
    <font>
      <color rgb="FF1D4ED8"/>
    </font>
  </fonts>
  <fills count="13">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59">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0" xfId="0" applyFont="1" applyFill="1" applyAlignment="1">
      <alignment horizontal="left" vertical="center" indent="1"/>
    </xf>
    <xf numFmtId="0" fontId="10" fillId="11" borderId="1" xfId="0" applyFont="1" applyFill="1" applyBorder="1" applyAlignment="1">
      <alignment horizontal="center" vertical="center" wrapText="1"/>
    </xf>
    <xf numFmtId="0" fontId="0" fillId="0" borderId="1" xfId="0" applyBorder="1" applyAlignment="1">
      <alignment horizontal="center" vertical="center"/>
    </xf>
    <xf numFmtId="0" fontId="11" fillId="0" borderId="1" xfId="0" applyFont="1"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0" fillId="12" borderId="1" xfId="0" applyFill="1" applyBorder="1" applyAlignment="1">
      <alignment horizontal="center" vertical="center"/>
    </xf>
    <xf numFmtId="0" fontId="11" fillId="12" borderId="1" xfId="0" applyFont="1" applyFill="1" applyBorder="1" applyAlignment="1">
      <alignment horizontal="center" vertical="center"/>
    </xf>
    <xf numFmtId="0" fontId="12" fillId="12" borderId="1" xfId="0" applyFont="1" applyFill="1" applyBorder="1" applyAlignment="1">
      <alignment horizontal="center" vertical="center"/>
    </xf>
    <xf numFmtId="0" fontId="13" fillId="12" borderId="1" xfId="0" applyFont="1" applyFill="1" applyBorder="1" applyAlignment="1">
      <alignment horizontal="center" vertical="center"/>
    </xf>
    <xf numFmtId="0" fontId="14" fillId="12" borderId="1" xfId="0" applyFont="1" applyFill="1" applyBorder="1" applyAlignment="1">
      <alignment horizontal="center" vertical="center"/>
    </xf>
    <xf numFmtId="0" fontId="18" fillId="12" borderId="1" xfId="0" applyFont="1" applyFill="1" applyBorder="1" applyAlignment="1">
      <alignment horizontal="center" vertical="center"/>
    </xf>
    <xf numFmtId="0" fontId="19" fillId="12" borderId="1" xfId="0" applyFont="1" applyFill="1" applyBorder="1" applyAlignment="1">
      <alignment horizontal="center" vertical="center"/>
    </xf>
    <xf numFmtId="0" fontId="16" fillId="12" borderId="1" xfId="0" applyFont="1" applyFill="1" applyBorder="1" applyAlignment="1">
      <alignment horizontal="center" vertical="center"/>
    </xf>
    <xf numFmtId="0" fontId="17" fillId="12" borderId="1" xfId="0" applyFont="1" applyFill="1" applyBorder="1" applyAlignment="1">
      <alignment horizontal="center" vertical="center"/>
    </xf>
    <xf numFmtId="0" fontId="19" fillId="0" borderId="1" xfId="0" applyFont="1" applyBorder="1" applyAlignment="1">
      <alignment horizontal="center" vertical="center"/>
    </xf>
    <xf numFmtId="0" fontId="15" fillId="12" borderId="1" xfId="0" applyFont="1" applyFill="1" applyBorder="1" applyAlignment="1">
      <alignment horizontal="center" vertical="center"/>
    </xf>
    <xf numFmtId="0" fontId="20" fillId="10" borderId="0" xfId="0" applyFont="1" applyFill="1" applyAlignment="1">
      <alignment vertical="center" indent="1"/>
    </xf>
    <xf numFmtId="0" fontId="21" fillId="10" borderId="0" xfId="0" applyFont="1" applyFill="1" applyAlignment="1">
      <alignment horizontal="center" vertical="center"/>
    </xf>
    <xf numFmtId="0" fontId="22" fillId="4" borderId="0" xfId="0" applyFont="1" applyFill="1" applyAlignment="1">
      <alignment horizontal="left" vertical="center" indent="1"/>
    </xf>
    <xf numFmtId="0" fontId="0" fillId="0" borderId="1" xfId="0" applyBorder="1" applyAlignment="1">
      <alignment horizontal="center" vertical="top" wrapText="1"/>
    </xf>
    <xf numFmtId="0" fontId="23" fillId="0" borderId="1" xfId="0" applyFont="1" applyBorder="1" applyAlignment="1">
      <alignment horizontal="left" vertical="top" wrapText="1"/>
    </xf>
    <xf numFmtId="0" fontId="0" fillId="0" borderId="1" xfId="0"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center" vertical="top" wrapText="1"/>
    </xf>
    <xf numFmtId="0" fontId="26" fillId="0" borderId="1" xfId="0" applyFont="1" applyBorder="1" applyAlignment="1">
      <alignment horizontal="center" vertical="top" wrapText="1"/>
    </xf>
    <xf numFmtId="0" fontId="13" fillId="5" borderId="1" xfId="0" applyFont="1" applyFill="1" applyBorder="1" applyAlignment="1">
      <alignment horizontal="center" vertical="top" wrapText="1"/>
    </xf>
    <xf numFmtId="0" fontId="27" fillId="0" borderId="1" xfId="0" applyFont="1" applyBorder="1" applyAlignment="1">
      <alignment horizontal="left" vertical="top" wrapText="1"/>
    </xf>
    <xf numFmtId="0" fontId="28" fillId="0" borderId="1" xfId="0" applyFont="1" applyBorder="1" applyAlignment="1">
      <alignment horizontal="center" vertical="top" wrapText="1"/>
    </xf>
    <xf numFmtId="0" fontId="0" fillId="12" borderId="1" xfId="0" applyFill="1" applyBorder="1" applyAlignment="1">
      <alignment horizontal="center" vertical="top" wrapText="1"/>
    </xf>
    <xf numFmtId="0" fontId="23" fillId="12" borderId="1" xfId="0" applyFont="1" applyFill="1" applyBorder="1" applyAlignment="1">
      <alignment horizontal="left" vertical="top" wrapText="1"/>
    </xf>
    <xf numFmtId="0" fontId="0" fillId="12" borderId="1" xfId="0" applyFill="1" applyBorder="1" applyAlignment="1">
      <alignment horizontal="left" vertical="top" wrapText="1"/>
    </xf>
    <xf numFmtId="0" fontId="24" fillId="12" borderId="1" xfId="0" applyFont="1" applyFill="1" applyBorder="1" applyAlignment="1">
      <alignment horizontal="left" vertical="top" wrapText="1"/>
    </xf>
    <xf numFmtId="0" fontId="15" fillId="12" borderId="1" xfId="0" applyFont="1" applyFill="1" applyBorder="1" applyAlignment="1">
      <alignment horizontal="center" vertical="top" wrapText="1"/>
    </xf>
    <xf numFmtId="0" fontId="28" fillId="12"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29" fillId="12" borderId="1" xfId="0" applyFont="1" applyFill="1" applyBorder="1" applyAlignment="1">
      <alignment horizontal="left" vertical="top" wrapText="1"/>
    </xf>
    <xf numFmtId="0" fontId="15" fillId="0" borderId="1" xfId="0" applyFont="1" applyBorder="1" applyAlignment="1">
      <alignment horizontal="center" vertical="top" wrapText="1"/>
    </xf>
    <xf numFmtId="0" fontId="29" fillId="0" borderId="1" xfId="0" applyFont="1" applyBorder="1" applyAlignment="1">
      <alignment horizontal="left" vertical="top" wrapText="1"/>
    </xf>
    <xf numFmtId="0" fontId="26" fillId="12" borderId="1" xfId="0" applyFont="1" applyFill="1" applyBorder="1" applyAlignment="1">
      <alignment horizontal="center" vertical="top" wrapText="1"/>
    </xf>
    <xf numFmtId="0" fontId="30" fillId="0" borderId="1" xfId="0" applyFont="1" applyBorder="1" applyAlignment="1">
      <alignment horizontal="center" vertical="top" wrapText="1"/>
    </xf>
    <xf numFmtId="0" fontId="27" fillId="12"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8" fillId="0" borderId="1" xfId="0" applyFont="1" applyBorder="1" applyAlignment="1">
      <alignment horizontal="left" vertical="top" wrapText="1"/>
    </xf>
    <xf numFmtId="0" fontId="25" fillId="12" borderId="1" xfId="0" applyFont="1" applyFill="1" applyBorder="1" applyAlignment="1">
      <alignment horizontal="center" vertical="top" wrapText="1"/>
    </xf>
    <xf numFmtId="0" fontId="30" fillId="12"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1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4" customWidth="1"/>
    <col min="3" max="3" width="46" customWidth="1"/>
    <col min="4" max="4" width="38" customWidth="1"/>
    <col min="5" max="5" width="44" customWidth="1"/>
    <col min="6" max="6" width="40" customWidth="1"/>
    <col min="7" max="7" width="11" customWidth="1"/>
    <col min="8" max="8" width="12" customWidth="1"/>
    <col min="9" max="9" width="10" customWidth="1"/>
    <col min="10" max="10" width="28" customWidth="1"/>
    <col min="11" max="11" width="14" customWidth="1"/>
    <col min="12" max="12" width="32" customWidth="1"/>
    <col min="13" max="13" width="26" customWidth="1"/>
  </cols>
  <sheetData>
    <row r="1" ht="34" customHeight="1" spans="1:13" x14ac:dyDescent="0.25">
      <c r="A1" s="1" t="s">
        <v>0</v>
      </c>
      <c r="B1" s="1"/>
      <c r="C1" s="1"/>
      <c r="D1" s="1"/>
      <c r="E1" s="1"/>
      <c r="F1" s="1"/>
      <c r="G1" s="1"/>
      <c r="H1" s="1"/>
      <c r="I1" s="1"/>
      <c r="J1" s="1"/>
      <c r="K1" s="1"/>
      <c r="L1" s="1"/>
      <c r="M1" s="1"/>
    </row>
    <row r="2" ht="22" customHeight="1" spans="1:13" x14ac:dyDescent="0.25">
      <c r="A2" s="2" t="s">
        <v>1</v>
      </c>
      <c r="B2" s="2"/>
      <c r="C2" s="2"/>
      <c r="D2" s="2"/>
      <c r="E2" s="2"/>
      <c r="F2" s="2"/>
      <c r="G2" s="2"/>
      <c r="H2" s="2"/>
      <c r="I2" s="2"/>
      <c r="J2" s="2"/>
      <c r="K2" s="2"/>
      <c r="L2" s="2"/>
      <c r="M2" s="2"/>
    </row>
    <row r="3" ht="32" customHeight="1" spans="1:13" x14ac:dyDescent="0.25">
      <c r="A3" s="3" t="s">
        <v>2</v>
      </c>
      <c r="B3" s="3"/>
      <c r="C3" s="3"/>
      <c r="D3" s="4" t="s">
        <v>3</v>
      </c>
      <c r="E3" s="5" t="s">
        <v>4</v>
      </c>
      <c r="F3" s="6" t="s">
        <v>5</v>
      </c>
      <c r="G3" s="7" t="s">
        <v>6</v>
      </c>
      <c r="H3" s="7"/>
      <c r="I3" s="7"/>
      <c r="J3" s="8" t="s">
        <v>7</v>
      </c>
      <c r="K3" s="3" t="s">
        <v>8</v>
      </c>
      <c r="L3" s="3"/>
      <c r="M3" s="3"/>
    </row>
    <row r="5" ht="24" customHeight="1" spans="1:13" x14ac:dyDescent="0.25">
      <c r="A5" s="9" t="s">
        <v>9</v>
      </c>
      <c r="B5" s="9"/>
      <c r="C5" s="9"/>
      <c r="D5" s="9"/>
      <c r="E5" s="9"/>
      <c r="F5" s="9"/>
      <c r="G5" s="9"/>
      <c r="H5" s="9"/>
      <c r="I5" s="9"/>
      <c r="J5" s="9"/>
      <c r="K5" s="9"/>
      <c r="L5" s="9"/>
      <c r="M5" s="9"/>
    </row>
    <row r="6" ht="32" customHeight="1" spans="1:13" x14ac:dyDescent="0.25">
      <c r="A6" s="10" t="s">
        <v>10</v>
      </c>
      <c r="B6" s="10" t="s">
        <v>11</v>
      </c>
      <c r="C6" s="10"/>
      <c r="D6" s="10" t="s">
        <v>12</v>
      </c>
      <c r="E6" s="10"/>
      <c r="F6" s="10" t="s">
        <v>13</v>
      </c>
      <c r="G6" s="10" t="s">
        <v>14</v>
      </c>
      <c r="H6" s="10" t="s">
        <v>15</v>
      </c>
      <c r="I6" s="10" t="s">
        <v>16</v>
      </c>
      <c r="J6" s="10" t="s">
        <v>17</v>
      </c>
      <c r="K6" s="10" t="s">
        <v>18</v>
      </c>
      <c r="L6" s="10" t="s">
        <v>19</v>
      </c>
      <c r="M6" s="10" t="s">
        <v>20</v>
      </c>
    </row>
    <row r="7" ht="20" customHeight="1" spans="1:13" x14ac:dyDescent="0.25">
      <c r="A7" s="11">
        <v>1</v>
      </c>
      <c r="B7" s="12" t="str">
        <f>HYPERLINK("#'Test Cases'!A21","Health check")</f>
        <v>Health check</v>
      </c>
      <c r="C7" s="12"/>
      <c r="D7" s="13" t="s">
        <v>21</v>
      </c>
      <c r="E7" s="13"/>
      <c r="F7" s="11">
        <v>1</v>
      </c>
      <c r="G7" s="14">
        <v>1</v>
      </c>
      <c r="H7" s="15">
        <v>0</v>
      </c>
      <c r="I7" s="15">
        <v>0</v>
      </c>
      <c r="J7" s="16">
        <v>0</v>
      </c>
      <c r="K7" s="17">
        <v>0</v>
      </c>
      <c r="L7" s="11" t="s">
        <v>22</v>
      </c>
      <c r="M7" s="18" t="str">
        <f>HYPERLINK("#'Test Cases'!A21","Section 1 →")</f>
        <v>Section 1 →</v>
      </c>
    </row>
    <row r="8" ht="20" customHeight="1" spans="1:13" x14ac:dyDescent="0.25">
      <c r="A8" s="19">
        <v>2</v>
      </c>
      <c r="B8" s="20" t="str">
        <f>HYPERLINK("#'Test Cases'!A26","Save PII")</f>
        <v>Save PII</v>
      </c>
      <c r="C8" s="20"/>
      <c r="D8" s="21" t="s">
        <v>23</v>
      </c>
      <c r="E8" s="21"/>
      <c r="F8" s="19">
        <v>21</v>
      </c>
      <c r="G8" s="22">
        <v>12</v>
      </c>
      <c r="H8" s="23">
        <v>0</v>
      </c>
      <c r="I8" s="24">
        <v>1</v>
      </c>
      <c r="J8" s="25">
        <v>8</v>
      </c>
      <c r="K8" s="26">
        <v>0</v>
      </c>
      <c r="L8" s="19" t="s">
        <v>24</v>
      </c>
      <c r="M8" s="27" t="str">
        <f>HYPERLINK("#'Test Cases'!A26","Section 2 →")</f>
        <v>Section 2 →</v>
      </c>
    </row>
    <row r="9" ht="20" customHeight="1" spans="1:13" x14ac:dyDescent="0.25">
      <c r="A9" s="11">
        <v>3</v>
      </c>
      <c r="B9" s="12" t="str">
        <f>HYPERLINK("#'Test Cases'!A51","Read PII")</f>
        <v>Read PII</v>
      </c>
      <c r="C9" s="12"/>
      <c r="D9" s="13" t="s">
        <v>25</v>
      </c>
      <c r="E9" s="13"/>
      <c r="F9" s="11">
        <v>9</v>
      </c>
      <c r="G9" s="14">
        <v>5</v>
      </c>
      <c r="H9" s="15">
        <v>0</v>
      </c>
      <c r="I9" s="15">
        <v>0</v>
      </c>
      <c r="J9" s="28">
        <v>4</v>
      </c>
      <c r="K9" s="17">
        <v>0</v>
      </c>
      <c r="L9" s="11" t="s">
        <v>22</v>
      </c>
      <c r="M9" s="18" t="str">
        <f>HYPERLINK("#'Test Cases'!A51","Section 3 →")</f>
        <v>Section 3 →</v>
      </c>
    </row>
    <row r="10" ht="20" customHeight="1" spans="1:13" x14ac:dyDescent="0.25">
      <c r="A10" s="19">
        <v>4</v>
      </c>
      <c r="B10" s="20" t="str">
        <f>HYPERLINK("#'Test Cases'!A64","Search PII")</f>
        <v>Search PII</v>
      </c>
      <c r="C10" s="20"/>
      <c r="D10" s="21" t="s">
        <v>26</v>
      </c>
      <c r="E10" s="21"/>
      <c r="F10" s="19">
        <v>5</v>
      </c>
      <c r="G10" s="22">
        <v>1</v>
      </c>
      <c r="H10" s="23">
        <v>0</v>
      </c>
      <c r="I10" s="23">
        <v>0</v>
      </c>
      <c r="J10" s="25">
        <v>4</v>
      </c>
      <c r="K10" s="26">
        <v>0</v>
      </c>
      <c r="L10" s="19" t="s">
        <v>22</v>
      </c>
      <c r="M10" s="27" t="str">
        <f>HYPERLINK("#'Test Cases'!A64","Section 4 →")</f>
        <v>Section 4 →</v>
      </c>
    </row>
    <row r="11" ht="20" customHeight="1" spans="1:13" x14ac:dyDescent="0.25">
      <c r="A11" s="11">
        <v>5</v>
      </c>
      <c r="B11" s="12" t="str">
        <f>HYPERLINK("#'Test Cases'!A73","Bulk read PII")</f>
        <v>Bulk read PII</v>
      </c>
      <c r="C11" s="12"/>
      <c r="D11" s="13" t="s">
        <v>27</v>
      </c>
      <c r="E11" s="13"/>
      <c r="F11" s="11">
        <v>3</v>
      </c>
      <c r="G11" s="14">
        <v>3</v>
      </c>
      <c r="H11" s="15">
        <v>0</v>
      </c>
      <c r="I11" s="15">
        <v>0</v>
      </c>
      <c r="J11" s="16">
        <v>0</v>
      </c>
      <c r="K11" s="17">
        <v>0</v>
      </c>
      <c r="L11" s="11" t="s">
        <v>22</v>
      </c>
      <c r="M11" s="18" t="str">
        <f>HYPERLINK("#'Test Cases'!A73","Section 5 →")</f>
        <v>Section 5 →</v>
      </c>
    </row>
    <row r="12" ht="20" customHeight="1" spans="1:13" x14ac:dyDescent="0.25">
      <c r="A12" s="19">
        <v>6</v>
      </c>
      <c r="B12" s="20" t="str">
        <f>HYPERLINK("#'Test Cases'!A80","Create temporary phone")</f>
        <v>Create temporary phone</v>
      </c>
      <c r="C12" s="20"/>
      <c r="D12" s="21" t="s">
        <v>28</v>
      </c>
      <c r="E12" s="21"/>
      <c r="F12" s="19">
        <v>1</v>
      </c>
      <c r="G12" s="22">
        <v>0</v>
      </c>
      <c r="H12" s="23">
        <v>0</v>
      </c>
      <c r="I12" s="23">
        <v>0</v>
      </c>
      <c r="J12" s="25">
        <v>1</v>
      </c>
      <c r="K12" s="26">
        <v>0</v>
      </c>
      <c r="L12" s="19" t="s">
        <v>29</v>
      </c>
      <c r="M12" s="27" t="str">
        <f>HYPERLINK("#'Test Cases'!A80","Section 6 →")</f>
        <v>Section 6 →</v>
      </c>
    </row>
    <row r="13" ht="20" customHeight="1" spans="1:13" x14ac:dyDescent="0.25">
      <c r="A13" s="11">
        <v>7</v>
      </c>
      <c r="B13" s="12" t="str">
        <f>HYPERLINK("#'Test Cases'!A85","Look up temporary phone")</f>
        <v>Look up temporary phone</v>
      </c>
      <c r="C13" s="12"/>
      <c r="D13" s="13" t="s">
        <v>30</v>
      </c>
      <c r="E13" s="13"/>
      <c r="F13" s="11">
        <v>2</v>
      </c>
      <c r="G13" s="14">
        <v>0</v>
      </c>
      <c r="H13" s="15">
        <v>0</v>
      </c>
      <c r="I13" s="15">
        <v>0</v>
      </c>
      <c r="J13" s="28">
        <v>2</v>
      </c>
      <c r="K13" s="17">
        <v>0</v>
      </c>
      <c r="L13" s="11" t="s">
        <v>29</v>
      </c>
      <c r="M13" s="18" t="str">
        <f>HYPERLINK("#'Test Cases'!A85","Section 7 →")</f>
        <v>Section 7 →</v>
      </c>
    </row>
    <row r="14" ht="20" customHeight="1" spans="1:13" x14ac:dyDescent="0.25">
      <c r="A14" s="19">
        <v>8</v>
      </c>
      <c r="B14" s="20" t="str">
        <f>HYPERLINK("#'Test Cases'!A91","Promote temporary phone")</f>
        <v>Promote temporary phone</v>
      </c>
      <c r="C14" s="20"/>
      <c r="D14" s="21" t="s">
        <v>31</v>
      </c>
      <c r="E14" s="21"/>
      <c r="F14" s="19">
        <v>1</v>
      </c>
      <c r="G14" s="22">
        <v>0</v>
      </c>
      <c r="H14" s="23">
        <v>0</v>
      </c>
      <c r="I14" s="23">
        <v>0</v>
      </c>
      <c r="J14" s="25">
        <v>1</v>
      </c>
      <c r="K14" s="26">
        <v>0</v>
      </c>
      <c r="L14" s="19" t="s">
        <v>29</v>
      </c>
      <c r="M14" s="27" t="str">
        <f>HYPERLINK("#'Test Cases'!A91","Section 8 →")</f>
        <v>Section 8 →</v>
      </c>
    </row>
    <row r="15" ht="20" customHeight="1" spans="1:13" x14ac:dyDescent="0.25">
      <c r="A15" s="11">
        <v>9</v>
      </c>
      <c r="B15" s="12" t="str">
        <f>HYPERLINK("#'Test Cases'!A96","Create encryption key")</f>
        <v>Create encryption key</v>
      </c>
      <c r="C15" s="12"/>
      <c r="D15" s="13" t="s">
        <v>32</v>
      </c>
      <c r="E15" s="13"/>
      <c r="F15" s="11">
        <v>1</v>
      </c>
      <c r="G15" s="14">
        <v>0</v>
      </c>
      <c r="H15" s="15">
        <v>0</v>
      </c>
      <c r="I15" s="15">
        <v>0</v>
      </c>
      <c r="J15" s="28">
        <v>1</v>
      </c>
      <c r="K15" s="17">
        <v>0</v>
      </c>
      <c r="L15" s="11" t="s">
        <v>29</v>
      </c>
      <c r="M15" s="18" t="str">
        <f>HYPERLINK("#'Test Cases'!A96","Section 9 →")</f>
        <v>Section 9 →</v>
      </c>
    </row>
    <row r="16" ht="20" customHeight="1" spans="1:13" x14ac:dyDescent="0.25">
      <c r="A16" s="19">
        <v>10</v>
      </c>
      <c r="B16" s="20" t="str">
        <f>HYPERLINK("#'Test Cases'!A101","Read encryption key")</f>
        <v>Read encryption key</v>
      </c>
      <c r="C16" s="20"/>
      <c r="D16" s="21" t="s">
        <v>33</v>
      </c>
      <c r="E16" s="21"/>
      <c r="F16" s="19">
        <v>1</v>
      </c>
      <c r="G16" s="22">
        <v>0</v>
      </c>
      <c r="H16" s="23">
        <v>0</v>
      </c>
      <c r="I16" s="23">
        <v>0</v>
      </c>
      <c r="J16" s="25">
        <v>1</v>
      </c>
      <c r="K16" s="26">
        <v>0</v>
      </c>
      <c r="L16" s="19" t="s">
        <v>29</v>
      </c>
      <c r="M16" s="27" t="str">
        <f>HYPERLINK("#'Test Cases'!A101","Section 10 →")</f>
        <v>Section 10 →</v>
      </c>
    </row>
    <row r="17" ht="20" customHeight="1" spans="1:13" x14ac:dyDescent="0.25">
      <c r="A17" s="11">
        <v>11</v>
      </c>
      <c r="B17" s="12" t="str">
        <f>HYPERLINK("#'Test Cases'!A106","Revoke encryption key")</f>
        <v>Revoke encryption key</v>
      </c>
      <c r="C17" s="12"/>
      <c r="D17" s="13" t="s">
        <v>34</v>
      </c>
      <c r="E17" s="13"/>
      <c r="F17" s="11">
        <v>1</v>
      </c>
      <c r="G17" s="14">
        <v>0</v>
      </c>
      <c r="H17" s="15">
        <v>0</v>
      </c>
      <c r="I17" s="15">
        <v>0</v>
      </c>
      <c r="J17" s="28">
        <v>1</v>
      </c>
      <c r="K17" s="17">
        <v>0</v>
      </c>
      <c r="L17" s="11" t="s">
        <v>29</v>
      </c>
      <c r="M17" s="18" t="str">
        <f>HYPERLINK("#'Test Cases'!A106","Section 11 →")</f>
        <v>Section 11 →</v>
      </c>
    </row>
    <row r="18" ht="20" customHeight="1" spans="1:13" x14ac:dyDescent="0.25">
      <c r="A18" s="19">
        <v>12</v>
      </c>
      <c r="B18" s="20" t="str">
        <f>HYPERLINK("#'Test Cases'!A111","Across endpoints")</f>
        <v>Across endpoints</v>
      </c>
      <c r="C18" s="20"/>
      <c r="D18" s="21" t="s">
        <v>35</v>
      </c>
      <c r="E18" s="21"/>
      <c r="F18" s="19">
        <v>3</v>
      </c>
      <c r="G18" s="22">
        <v>3</v>
      </c>
      <c r="H18" s="23">
        <v>0</v>
      </c>
      <c r="I18" s="23">
        <v>0</v>
      </c>
      <c r="J18" s="29">
        <v>0</v>
      </c>
      <c r="K18" s="26">
        <v>0</v>
      </c>
      <c r="L18" s="19" t="s">
        <v>22</v>
      </c>
      <c r="M18" s="27" t="str">
        <f>HYPERLINK("#'Test Cases'!A111","Section 12 →")</f>
        <v>Section 12 →</v>
      </c>
    </row>
    <row r="21" ht="28" customHeight="1" spans="1:13" x14ac:dyDescent="0.25">
      <c r="A21" s="30" t="s">
        <v>36</v>
      </c>
      <c r="B21" s="30"/>
      <c r="C21" s="30"/>
      <c r="D21" s="30"/>
      <c r="E21" s="30"/>
      <c r="F21" s="30"/>
      <c r="G21" s="30"/>
      <c r="H21" s="30"/>
      <c r="I21" s="30"/>
      <c r="J21" s="30"/>
      <c r="K21" s="30"/>
      <c r="L21" s="30"/>
      <c r="M21" s="31" t="str">
        <f>HYPERLINK("#'Test Cases'!A5","↑ Summary")</f>
        <v>↑ Summary</v>
      </c>
    </row>
    <row r="22" ht="18" customHeight="1" spans="1:13" x14ac:dyDescent="0.25">
      <c r="A22" s="32" t="s">
        <v>37</v>
      </c>
      <c r="B22" s="32"/>
      <c r="C22" s="32"/>
      <c r="D22" s="32"/>
      <c r="E22" s="32"/>
      <c r="F22" s="32"/>
      <c r="G22" s="32"/>
      <c r="H22" s="32"/>
      <c r="I22" s="32"/>
      <c r="J22" s="32"/>
      <c r="K22" s="32"/>
      <c r="L22" s="32"/>
      <c r="M22" s="32"/>
    </row>
    <row r="23" ht="30" customHeight="1" spans="1:13" x14ac:dyDescent="0.25">
      <c r="A23" s="10" t="s">
        <v>38</v>
      </c>
      <c r="B23" s="10" t="s">
        <v>39</v>
      </c>
      <c r="C23" s="10" t="s">
        <v>40</v>
      </c>
      <c r="D23" s="10" t="s">
        <v>41</v>
      </c>
      <c r="E23" s="10" t="s">
        <v>42</v>
      </c>
      <c r="F23" s="10" t="s">
        <v>43</v>
      </c>
      <c r="G23" s="10" t="s">
        <v>44</v>
      </c>
      <c r="H23" s="10" t="s">
        <v>45</v>
      </c>
      <c r="I23" s="10" t="s">
        <v>46</v>
      </c>
      <c r="J23" s="10" t="s">
        <v>47</v>
      </c>
      <c r="K23" s="10" t="s">
        <v>48</v>
      </c>
      <c r="L23" s="10" t="s">
        <v>49</v>
      </c>
      <c r="M23" s="10" t="s">
        <v>50</v>
      </c>
    </row>
    <row r="24" ht="96" customHeight="1" spans="1:13" x14ac:dyDescent="0.25">
      <c r="A24" s="33">
        <v>1</v>
      </c>
      <c r="B24" s="34" t="s">
        <v>51</v>
      </c>
      <c r="C24" s="35" t="s">
        <v>52</v>
      </c>
      <c r="D24" s="36" t="s">
        <v>53</v>
      </c>
      <c r="E24" s="35" t="s">
        <v>54</v>
      </c>
      <c r="F24" s="35" t="s">
        <v>55</v>
      </c>
      <c r="G24" s="33" t="s">
        <v>56</v>
      </c>
      <c r="H24" s="37" t="s">
        <v>57</v>
      </c>
      <c r="I24" s="38" t="s">
        <v>58</v>
      </c>
      <c r="J24" s="35" t="s">
        <v>59</v>
      </c>
      <c r="K24" s="39" t="s">
        <v>60</v>
      </c>
      <c r="L24" s="40" t="s">
        <v>59</v>
      </c>
      <c r="M24" s="35" t="s">
        <v>59</v>
      </c>
    </row>
    <row r="26" ht="28" customHeight="1" spans="1:13" x14ac:dyDescent="0.25">
      <c r="A26" s="30" t="s">
        <v>61</v>
      </c>
      <c r="B26" s="30"/>
      <c r="C26" s="30"/>
      <c r="D26" s="30"/>
      <c r="E26" s="30"/>
      <c r="F26" s="30"/>
      <c r="G26" s="30"/>
      <c r="H26" s="30"/>
      <c r="I26" s="30"/>
      <c r="J26" s="30"/>
      <c r="K26" s="30"/>
      <c r="L26" s="30"/>
      <c r="M26" s="31" t="str">
        <f>HYPERLINK("#'Test Cases'!A5","↑ Summary")</f>
        <v>↑ Summary</v>
      </c>
    </row>
    <row r="27" ht="18" customHeight="1" spans="1:13" x14ac:dyDescent="0.25">
      <c r="A27" s="32" t="s">
        <v>62</v>
      </c>
      <c r="B27" s="32"/>
      <c r="C27" s="32"/>
      <c r="D27" s="32"/>
      <c r="E27" s="32"/>
      <c r="F27" s="32"/>
      <c r="G27" s="32"/>
      <c r="H27" s="32"/>
      <c r="I27" s="32"/>
      <c r="J27" s="32"/>
      <c r="K27" s="32"/>
      <c r="L27" s="32"/>
      <c r="M27" s="32"/>
    </row>
    <row r="28" ht="30" customHeight="1" spans="1:13" x14ac:dyDescent="0.25">
      <c r="A28" s="10" t="s">
        <v>38</v>
      </c>
      <c r="B28" s="10" t="s">
        <v>39</v>
      </c>
      <c r="C28" s="10" t="s">
        <v>40</v>
      </c>
      <c r="D28" s="10" t="s">
        <v>41</v>
      </c>
      <c r="E28" s="10" t="s">
        <v>42</v>
      </c>
      <c r="F28" s="10" t="s">
        <v>43</v>
      </c>
      <c r="G28" s="10" t="s">
        <v>44</v>
      </c>
      <c r="H28" s="10" t="s">
        <v>45</v>
      </c>
      <c r="I28" s="10" t="s">
        <v>46</v>
      </c>
      <c r="J28" s="10" t="s">
        <v>47</v>
      </c>
      <c r="K28" s="10" t="s">
        <v>48</v>
      </c>
      <c r="L28" s="10" t="s">
        <v>49</v>
      </c>
      <c r="M28" s="10" t="s">
        <v>50</v>
      </c>
    </row>
    <row r="29" ht="96" customHeight="1" spans="1:13" x14ac:dyDescent="0.25">
      <c r="A29" s="33">
        <v>1</v>
      </c>
      <c r="B29" s="34" t="s">
        <v>63</v>
      </c>
      <c r="C29" s="35" t="s">
        <v>64</v>
      </c>
      <c r="D29" s="36" t="s">
        <v>65</v>
      </c>
      <c r="E29" s="35" t="s">
        <v>66</v>
      </c>
      <c r="F29" s="35" t="s">
        <v>67</v>
      </c>
      <c r="G29" s="33" t="s">
        <v>68</v>
      </c>
      <c r="H29" s="37" t="s">
        <v>57</v>
      </c>
      <c r="I29" s="41" t="s">
        <v>69</v>
      </c>
      <c r="J29" s="35" t="s">
        <v>59</v>
      </c>
      <c r="K29" s="39" t="s">
        <v>60</v>
      </c>
      <c r="L29" s="40" t="s">
        <v>59</v>
      </c>
      <c r="M29" s="35" t="s">
        <v>59</v>
      </c>
    </row>
    <row r="30" ht="141" customHeight="1" spans="1:13" x14ac:dyDescent="0.25">
      <c r="A30" s="42">
        <v>2</v>
      </c>
      <c r="B30" s="43" t="s">
        <v>70</v>
      </c>
      <c r="C30" s="44" t="s">
        <v>71</v>
      </c>
      <c r="D30" s="45" t="s">
        <v>72</v>
      </c>
      <c r="E30" s="44" t="s">
        <v>73</v>
      </c>
      <c r="F30" s="44" t="s">
        <v>74</v>
      </c>
      <c r="G30" s="42" t="s">
        <v>75</v>
      </c>
      <c r="H30" s="46" t="s">
        <v>76</v>
      </c>
      <c r="I30" s="47" t="s">
        <v>69</v>
      </c>
      <c r="J30" s="44" t="s">
        <v>77</v>
      </c>
      <c r="K30" s="48" t="s">
        <v>78</v>
      </c>
      <c r="L30" s="49" t="s">
        <v>79</v>
      </c>
      <c r="M30" s="44" t="s">
        <v>59</v>
      </c>
    </row>
    <row r="31" ht="81" customHeight="1" spans="1:13" x14ac:dyDescent="0.25">
      <c r="A31" s="33">
        <v>3</v>
      </c>
      <c r="B31" s="34" t="s">
        <v>80</v>
      </c>
      <c r="C31" s="35" t="s">
        <v>81</v>
      </c>
      <c r="D31" s="36" t="s">
        <v>82</v>
      </c>
      <c r="E31" s="35" t="s">
        <v>83</v>
      </c>
      <c r="F31" s="35" t="s">
        <v>84</v>
      </c>
      <c r="G31" s="33" t="s">
        <v>75</v>
      </c>
      <c r="H31" s="50" t="s">
        <v>76</v>
      </c>
      <c r="I31" s="38" t="s">
        <v>58</v>
      </c>
      <c r="J31" s="35" t="s">
        <v>77</v>
      </c>
      <c r="K31" s="48" t="s">
        <v>78</v>
      </c>
      <c r="L31" s="51" t="s">
        <v>79</v>
      </c>
      <c r="M31" s="35" t="s">
        <v>59</v>
      </c>
    </row>
    <row r="32" ht="96" customHeight="1" spans="1:13" x14ac:dyDescent="0.25">
      <c r="A32" s="42">
        <v>4</v>
      </c>
      <c r="B32" s="43" t="s">
        <v>85</v>
      </c>
      <c r="C32" s="44" t="s">
        <v>86</v>
      </c>
      <c r="D32" s="45" t="s">
        <v>87</v>
      </c>
      <c r="E32" s="44" t="s">
        <v>88</v>
      </c>
      <c r="F32" s="44" t="s">
        <v>89</v>
      </c>
      <c r="G32" s="42" t="s">
        <v>75</v>
      </c>
      <c r="H32" s="46" t="s">
        <v>76</v>
      </c>
      <c r="I32" s="52" t="s">
        <v>58</v>
      </c>
      <c r="J32" s="44" t="s">
        <v>77</v>
      </c>
      <c r="K32" s="48" t="s">
        <v>78</v>
      </c>
      <c r="L32" s="49" t="s">
        <v>79</v>
      </c>
      <c r="M32" s="44" t="s">
        <v>59</v>
      </c>
    </row>
    <row r="33" ht="66" customHeight="1" spans="1:13" x14ac:dyDescent="0.25">
      <c r="A33" s="33">
        <v>5</v>
      </c>
      <c r="B33" s="34" t="s">
        <v>90</v>
      </c>
      <c r="C33" s="35" t="s">
        <v>91</v>
      </c>
      <c r="D33" s="36" t="s">
        <v>92</v>
      </c>
      <c r="E33" s="35" t="s">
        <v>93</v>
      </c>
      <c r="F33" s="35" t="s">
        <v>94</v>
      </c>
      <c r="G33" s="33" t="s">
        <v>56</v>
      </c>
      <c r="H33" s="50" t="s">
        <v>76</v>
      </c>
      <c r="I33" s="38" t="s">
        <v>58</v>
      </c>
      <c r="J33" s="35" t="s">
        <v>59</v>
      </c>
      <c r="K33" s="39" t="s">
        <v>60</v>
      </c>
      <c r="L33" s="40" t="s">
        <v>59</v>
      </c>
      <c r="M33" s="35" t="s">
        <v>59</v>
      </c>
    </row>
    <row r="34" ht="81" customHeight="1" spans="1:13" x14ac:dyDescent="0.25">
      <c r="A34" s="42">
        <v>6</v>
      </c>
      <c r="B34" s="43" t="s">
        <v>95</v>
      </c>
      <c r="C34" s="44" t="s">
        <v>96</v>
      </c>
      <c r="D34" s="45" t="s">
        <v>97</v>
      </c>
      <c r="E34" s="44" t="s">
        <v>98</v>
      </c>
      <c r="F34" s="44" t="s">
        <v>99</v>
      </c>
      <c r="G34" s="42" t="s">
        <v>56</v>
      </c>
      <c r="H34" s="46" t="s">
        <v>76</v>
      </c>
      <c r="I34" s="52" t="s">
        <v>58</v>
      </c>
      <c r="J34" s="44" t="s">
        <v>100</v>
      </c>
      <c r="K34" s="48" t="s">
        <v>78</v>
      </c>
      <c r="L34" s="49" t="s">
        <v>101</v>
      </c>
      <c r="M34" s="44" t="s">
        <v>59</v>
      </c>
    </row>
    <row r="35" ht="81" customHeight="1" spans="1:13" x14ac:dyDescent="0.25">
      <c r="A35" s="33">
        <v>7</v>
      </c>
      <c r="B35" s="34" t="s">
        <v>102</v>
      </c>
      <c r="C35" s="35" t="s">
        <v>103</v>
      </c>
      <c r="D35" s="36" t="s">
        <v>104</v>
      </c>
      <c r="E35" s="35" t="s">
        <v>105</v>
      </c>
      <c r="F35" s="35" t="s">
        <v>106</v>
      </c>
      <c r="G35" s="33" t="s">
        <v>107</v>
      </c>
      <c r="H35" s="50" t="s">
        <v>76</v>
      </c>
      <c r="I35" s="53" t="s">
        <v>108</v>
      </c>
      <c r="J35" s="35" t="s">
        <v>109</v>
      </c>
      <c r="K35" s="48" t="s">
        <v>78</v>
      </c>
      <c r="L35" s="51" t="s">
        <v>110</v>
      </c>
      <c r="M35" s="35" t="s">
        <v>59</v>
      </c>
    </row>
    <row r="36" ht="96" customHeight="1" spans="1:13" x14ac:dyDescent="0.25">
      <c r="A36" s="42">
        <v>8</v>
      </c>
      <c r="B36" s="43" t="s">
        <v>111</v>
      </c>
      <c r="C36" s="44" t="s">
        <v>112</v>
      </c>
      <c r="D36" s="45" t="s">
        <v>113</v>
      </c>
      <c r="E36" s="44" t="s">
        <v>114</v>
      </c>
      <c r="F36" s="44" t="s">
        <v>115</v>
      </c>
      <c r="G36" s="42" t="s">
        <v>68</v>
      </c>
      <c r="H36" s="46" t="s">
        <v>76</v>
      </c>
      <c r="I36" s="47" t="s">
        <v>69</v>
      </c>
      <c r="J36" s="44" t="s">
        <v>59</v>
      </c>
      <c r="K36" s="39" t="s">
        <v>60</v>
      </c>
      <c r="L36" s="54" t="s">
        <v>59</v>
      </c>
      <c r="M36" s="44" t="s">
        <v>59</v>
      </c>
    </row>
    <row r="37" ht="96" customHeight="1" spans="1:13" x14ac:dyDescent="0.25">
      <c r="A37" s="33">
        <v>9</v>
      </c>
      <c r="B37" s="34" t="s">
        <v>116</v>
      </c>
      <c r="C37" s="35" t="s">
        <v>117</v>
      </c>
      <c r="D37" s="36" t="s">
        <v>118</v>
      </c>
      <c r="E37" s="35" t="s">
        <v>119</v>
      </c>
      <c r="F37" s="35" t="s">
        <v>120</v>
      </c>
      <c r="G37" s="33" t="s">
        <v>68</v>
      </c>
      <c r="H37" s="50" t="s">
        <v>76</v>
      </c>
      <c r="I37" s="38" t="s">
        <v>58</v>
      </c>
      <c r="J37" s="35" t="s">
        <v>59</v>
      </c>
      <c r="K37" s="55" t="s">
        <v>121</v>
      </c>
      <c r="L37" s="56" t="s">
        <v>122</v>
      </c>
      <c r="M37" s="35" t="s">
        <v>59</v>
      </c>
    </row>
    <row r="38" ht="96" customHeight="1" spans="1:13" x14ac:dyDescent="0.25">
      <c r="A38" s="42">
        <v>10</v>
      </c>
      <c r="B38" s="43" t="s">
        <v>123</v>
      </c>
      <c r="C38" s="44" t="s">
        <v>124</v>
      </c>
      <c r="D38" s="45" t="s">
        <v>125</v>
      </c>
      <c r="E38" s="44" t="s">
        <v>126</v>
      </c>
      <c r="F38" s="44" t="s">
        <v>127</v>
      </c>
      <c r="G38" s="42" t="s">
        <v>68</v>
      </c>
      <c r="H38" s="57" t="s">
        <v>57</v>
      </c>
      <c r="I38" s="47" t="s">
        <v>69</v>
      </c>
      <c r="J38" s="44" t="s">
        <v>59</v>
      </c>
      <c r="K38" s="39" t="s">
        <v>60</v>
      </c>
      <c r="L38" s="54" t="s">
        <v>59</v>
      </c>
      <c r="M38" s="44" t="s">
        <v>59</v>
      </c>
    </row>
    <row r="39" ht="111" customHeight="1" spans="1:13" x14ac:dyDescent="0.25">
      <c r="A39" s="33">
        <v>11</v>
      </c>
      <c r="B39" s="34" t="s">
        <v>128</v>
      </c>
      <c r="C39" s="35" t="s">
        <v>129</v>
      </c>
      <c r="D39" s="36" t="s">
        <v>130</v>
      </c>
      <c r="E39" s="35" t="s">
        <v>131</v>
      </c>
      <c r="F39" s="35" t="s">
        <v>132</v>
      </c>
      <c r="G39" s="33" t="s">
        <v>56</v>
      </c>
      <c r="H39" s="37" t="s">
        <v>57</v>
      </c>
      <c r="I39" s="41" t="s">
        <v>69</v>
      </c>
      <c r="J39" s="35" t="s">
        <v>59</v>
      </c>
      <c r="K39" s="39" t="s">
        <v>60</v>
      </c>
      <c r="L39" s="40" t="s">
        <v>59</v>
      </c>
      <c r="M39" s="35" t="s">
        <v>59</v>
      </c>
    </row>
    <row r="40" ht="96" customHeight="1" spans="1:13" x14ac:dyDescent="0.25">
      <c r="A40" s="42">
        <v>12</v>
      </c>
      <c r="B40" s="43" t="s">
        <v>133</v>
      </c>
      <c r="C40" s="44" t="s">
        <v>134</v>
      </c>
      <c r="D40" s="45" t="s">
        <v>135</v>
      </c>
      <c r="E40" s="44" t="s">
        <v>136</v>
      </c>
      <c r="F40" s="44" t="s">
        <v>137</v>
      </c>
      <c r="G40" s="42" t="s">
        <v>56</v>
      </c>
      <c r="H40" s="57" t="s">
        <v>57</v>
      </c>
      <c r="I40" s="47" t="s">
        <v>69</v>
      </c>
      <c r="J40" s="44" t="s">
        <v>59</v>
      </c>
      <c r="K40" s="39" t="s">
        <v>60</v>
      </c>
      <c r="L40" s="54" t="s">
        <v>59</v>
      </c>
      <c r="M40" s="44" t="s">
        <v>59</v>
      </c>
    </row>
    <row r="41" ht="81" customHeight="1" spans="1:13" x14ac:dyDescent="0.25">
      <c r="A41" s="33">
        <v>13</v>
      </c>
      <c r="B41" s="34" t="s">
        <v>138</v>
      </c>
      <c r="C41" s="35" t="s">
        <v>139</v>
      </c>
      <c r="D41" s="36" t="s">
        <v>140</v>
      </c>
      <c r="E41" s="35" t="s">
        <v>141</v>
      </c>
      <c r="F41" s="35" t="s">
        <v>142</v>
      </c>
      <c r="G41" s="33" t="s">
        <v>107</v>
      </c>
      <c r="H41" s="50" t="s">
        <v>76</v>
      </c>
      <c r="I41" s="38" t="s">
        <v>58</v>
      </c>
      <c r="J41" s="35" t="s">
        <v>59</v>
      </c>
      <c r="K41" s="39" t="s">
        <v>60</v>
      </c>
      <c r="L41" s="40" t="s">
        <v>59</v>
      </c>
      <c r="M41" s="35" t="s">
        <v>59</v>
      </c>
    </row>
    <row r="42" ht="66" customHeight="1" spans="1:13" x14ac:dyDescent="0.25">
      <c r="A42" s="42">
        <v>14</v>
      </c>
      <c r="B42" s="43" t="s">
        <v>143</v>
      </c>
      <c r="C42" s="44" t="s">
        <v>144</v>
      </c>
      <c r="D42" s="45" t="s">
        <v>145</v>
      </c>
      <c r="E42" s="44" t="s">
        <v>146</v>
      </c>
      <c r="F42" s="44" t="s">
        <v>147</v>
      </c>
      <c r="G42" s="42" t="s">
        <v>107</v>
      </c>
      <c r="H42" s="46" t="s">
        <v>76</v>
      </c>
      <c r="I42" s="58" t="s">
        <v>108</v>
      </c>
      <c r="J42" s="44" t="s">
        <v>59</v>
      </c>
      <c r="K42" s="39" t="s">
        <v>60</v>
      </c>
      <c r="L42" s="54" t="s">
        <v>59</v>
      </c>
      <c r="M42" s="44" t="s">
        <v>59</v>
      </c>
    </row>
    <row r="43" ht="81" customHeight="1" spans="1:13" x14ac:dyDescent="0.25">
      <c r="A43" s="33">
        <v>15</v>
      </c>
      <c r="B43" s="34" t="s">
        <v>148</v>
      </c>
      <c r="C43" s="35" t="s">
        <v>149</v>
      </c>
      <c r="D43" s="36" t="s">
        <v>150</v>
      </c>
      <c r="E43" s="35" t="s">
        <v>151</v>
      </c>
      <c r="F43" s="35" t="s">
        <v>152</v>
      </c>
      <c r="G43" s="33" t="s">
        <v>56</v>
      </c>
      <c r="H43" s="50" t="s">
        <v>76</v>
      </c>
      <c r="I43" s="53" t="s">
        <v>108</v>
      </c>
      <c r="J43" s="35" t="s">
        <v>59</v>
      </c>
      <c r="K43" s="39" t="s">
        <v>60</v>
      </c>
      <c r="L43" s="40" t="s">
        <v>59</v>
      </c>
      <c r="M43" s="35" t="s">
        <v>59</v>
      </c>
    </row>
    <row r="44" ht="81" customHeight="1" spans="1:13" x14ac:dyDescent="0.25">
      <c r="A44" s="42">
        <v>16</v>
      </c>
      <c r="B44" s="43" t="s">
        <v>153</v>
      </c>
      <c r="C44" s="44" t="s">
        <v>154</v>
      </c>
      <c r="D44" s="45" t="s">
        <v>155</v>
      </c>
      <c r="E44" s="44" t="s">
        <v>156</v>
      </c>
      <c r="F44" s="44" t="s">
        <v>157</v>
      </c>
      <c r="G44" s="42" t="s">
        <v>107</v>
      </c>
      <c r="H44" s="46" t="s">
        <v>76</v>
      </c>
      <c r="I44" s="58" t="s">
        <v>108</v>
      </c>
      <c r="J44" s="44" t="s">
        <v>59</v>
      </c>
      <c r="K44" s="39" t="s">
        <v>60</v>
      </c>
      <c r="L44" s="54" t="s">
        <v>59</v>
      </c>
      <c r="M44" s="44" t="s">
        <v>59</v>
      </c>
    </row>
    <row r="45" ht="81" customHeight="1" spans="1:13" x14ac:dyDescent="0.25">
      <c r="A45" s="33">
        <v>17</v>
      </c>
      <c r="B45" s="34" t="s">
        <v>158</v>
      </c>
      <c r="C45" s="35" t="s">
        <v>159</v>
      </c>
      <c r="D45" s="36" t="s">
        <v>160</v>
      </c>
      <c r="E45" s="35" t="s">
        <v>161</v>
      </c>
      <c r="F45" s="35" t="s">
        <v>162</v>
      </c>
      <c r="G45" s="33" t="s">
        <v>107</v>
      </c>
      <c r="H45" s="50" t="s">
        <v>76</v>
      </c>
      <c r="I45" s="53" t="s">
        <v>108</v>
      </c>
      <c r="J45" s="35" t="s">
        <v>59</v>
      </c>
      <c r="K45" s="39" t="s">
        <v>60</v>
      </c>
      <c r="L45" s="40" t="s">
        <v>59</v>
      </c>
      <c r="M45" s="35" t="s">
        <v>59</v>
      </c>
    </row>
    <row r="46" ht="66" customHeight="1" spans="1:13" x14ac:dyDescent="0.25">
      <c r="A46" s="42">
        <v>18</v>
      </c>
      <c r="B46" s="43" t="s">
        <v>163</v>
      </c>
      <c r="C46" s="44" t="s">
        <v>164</v>
      </c>
      <c r="D46" s="45" t="s">
        <v>165</v>
      </c>
      <c r="E46" s="44" t="s">
        <v>166</v>
      </c>
      <c r="F46" s="44" t="s">
        <v>167</v>
      </c>
      <c r="G46" s="42" t="s">
        <v>107</v>
      </c>
      <c r="H46" s="46" t="s">
        <v>76</v>
      </c>
      <c r="I46" s="58" t="s">
        <v>108</v>
      </c>
      <c r="J46" s="44" t="s">
        <v>59</v>
      </c>
      <c r="K46" s="39" t="s">
        <v>60</v>
      </c>
      <c r="L46" s="54" t="s">
        <v>59</v>
      </c>
      <c r="M46" s="44" t="s">
        <v>59</v>
      </c>
    </row>
    <row r="47" ht="111" customHeight="1" spans="1:13" x14ac:dyDescent="0.25">
      <c r="A47" s="33">
        <v>19</v>
      </c>
      <c r="B47" s="34" t="s">
        <v>168</v>
      </c>
      <c r="C47" s="35" t="s">
        <v>169</v>
      </c>
      <c r="D47" s="36" t="s">
        <v>170</v>
      </c>
      <c r="E47" s="35" t="s">
        <v>171</v>
      </c>
      <c r="F47" s="35" t="s">
        <v>172</v>
      </c>
      <c r="G47" s="33" t="s">
        <v>107</v>
      </c>
      <c r="H47" s="50" t="s">
        <v>76</v>
      </c>
      <c r="I47" s="38" t="s">
        <v>58</v>
      </c>
      <c r="J47" s="35" t="s">
        <v>173</v>
      </c>
      <c r="K47" s="48" t="s">
        <v>78</v>
      </c>
      <c r="L47" s="51" t="s">
        <v>174</v>
      </c>
      <c r="M47" s="35" t="s">
        <v>59</v>
      </c>
    </row>
    <row r="48" ht="111" customHeight="1" spans="1:13" x14ac:dyDescent="0.25">
      <c r="A48" s="42">
        <v>20</v>
      </c>
      <c r="B48" s="43" t="s">
        <v>175</v>
      </c>
      <c r="C48" s="44" t="s">
        <v>176</v>
      </c>
      <c r="D48" s="45" t="s">
        <v>177</v>
      </c>
      <c r="E48" s="44" t="s">
        <v>178</v>
      </c>
      <c r="F48" s="44" t="s">
        <v>179</v>
      </c>
      <c r="G48" s="42" t="s">
        <v>56</v>
      </c>
      <c r="H48" s="57" t="s">
        <v>57</v>
      </c>
      <c r="I48" s="47" t="s">
        <v>69</v>
      </c>
      <c r="J48" s="44" t="s">
        <v>180</v>
      </c>
      <c r="K48" s="48" t="s">
        <v>78</v>
      </c>
      <c r="L48" s="49" t="s">
        <v>181</v>
      </c>
      <c r="M48" s="44" t="s">
        <v>59</v>
      </c>
    </row>
    <row r="49" ht="141" customHeight="1" spans="1:13" x14ac:dyDescent="0.25">
      <c r="A49" s="33">
        <v>21</v>
      </c>
      <c r="B49" s="34" t="s">
        <v>182</v>
      </c>
      <c r="C49" s="35" t="s">
        <v>183</v>
      </c>
      <c r="D49" s="36" t="s">
        <v>184</v>
      </c>
      <c r="E49" s="35" t="s">
        <v>185</v>
      </c>
      <c r="F49" s="35" t="s">
        <v>186</v>
      </c>
      <c r="G49" s="33" t="s">
        <v>75</v>
      </c>
      <c r="H49" s="37" t="s">
        <v>57</v>
      </c>
      <c r="I49" s="41" t="s">
        <v>69</v>
      </c>
      <c r="J49" s="35" t="s">
        <v>187</v>
      </c>
      <c r="K49" s="48" t="s">
        <v>78</v>
      </c>
      <c r="L49" s="51" t="s">
        <v>79</v>
      </c>
      <c r="M49" s="35" t="s">
        <v>59</v>
      </c>
    </row>
    <row r="51" ht="28" customHeight="1" spans="1:13" x14ac:dyDescent="0.25">
      <c r="A51" s="30" t="s">
        <v>188</v>
      </c>
      <c r="B51" s="30"/>
      <c r="C51" s="30"/>
      <c r="D51" s="30"/>
      <c r="E51" s="30"/>
      <c r="F51" s="30"/>
      <c r="G51" s="30"/>
      <c r="H51" s="30"/>
      <c r="I51" s="30"/>
      <c r="J51" s="30"/>
      <c r="K51" s="30"/>
      <c r="L51" s="30"/>
      <c r="M51" s="31" t="str">
        <f>HYPERLINK("#'Test Cases'!A5","↑ Summary")</f>
        <v>↑ Summary</v>
      </c>
    </row>
    <row r="52" ht="18" customHeight="1" spans="1:13" x14ac:dyDescent="0.25">
      <c r="A52" s="32" t="s">
        <v>189</v>
      </c>
      <c r="B52" s="32"/>
      <c r="C52" s="32"/>
      <c r="D52" s="32"/>
      <c r="E52" s="32"/>
      <c r="F52" s="32"/>
      <c r="G52" s="32"/>
      <c r="H52" s="32"/>
      <c r="I52" s="32"/>
      <c r="J52" s="32"/>
      <c r="K52" s="32"/>
      <c r="L52" s="32"/>
      <c r="M52" s="32"/>
    </row>
    <row r="53" ht="30" customHeight="1" spans="1:13" x14ac:dyDescent="0.25">
      <c r="A53" s="10" t="s">
        <v>38</v>
      </c>
      <c r="B53" s="10" t="s">
        <v>39</v>
      </c>
      <c r="C53" s="10" t="s">
        <v>40</v>
      </c>
      <c r="D53" s="10" t="s">
        <v>41</v>
      </c>
      <c r="E53" s="10" t="s">
        <v>42</v>
      </c>
      <c r="F53" s="10" t="s">
        <v>43</v>
      </c>
      <c r="G53" s="10" t="s">
        <v>44</v>
      </c>
      <c r="H53" s="10" t="s">
        <v>45</v>
      </c>
      <c r="I53" s="10" t="s">
        <v>46</v>
      </c>
      <c r="J53" s="10" t="s">
        <v>47</v>
      </c>
      <c r="K53" s="10" t="s">
        <v>48</v>
      </c>
      <c r="L53" s="10" t="s">
        <v>49</v>
      </c>
      <c r="M53" s="10" t="s">
        <v>50</v>
      </c>
    </row>
    <row r="54" ht="81" customHeight="1" spans="1:13" x14ac:dyDescent="0.25">
      <c r="A54" s="33">
        <v>1</v>
      </c>
      <c r="B54" s="34" t="s">
        <v>190</v>
      </c>
      <c r="C54" s="35" t="s">
        <v>191</v>
      </c>
      <c r="D54" s="36" t="s">
        <v>192</v>
      </c>
      <c r="E54" s="35" t="s">
        <v>193</v>
      </c>
      <c r="F54" s="35" t="s">
        <v>194</v>
      </c>
      <c r="G54" s="33" t="s">
        <v>68</v>
      </c>
      <c r="H54" s="37" t="s">
        <v>57</v>
      </c>
      <c r="I54" s="41" t="s">
        <v>69</v>
      </c>
      <c r="J54" s="35" t="s">
        <v>59</v>
      </c>
      <c r="K54" s="39" t="s">
        <v>60</v>
      </c>
      <c r="L54" s="40" t="s">
        <v>59</v>
      </c>
      <c r="M54" s="35" t="s">
        <v>59</v>
      </c>
    </row>
    <row r="55" ht="96" customHeight="1" spans="1:13" x14ac:dyDescent="0.25">
      <c r="A55" s="42">
        <v>2</v>
      </c>
      <c r="B55" s="43" t="s">
        <v>195</v>
      </c>
      <c r="C55" s="44" t="s">
        <v>196</v>
      </c>
      <c r="D55" s="45" t="s">
        <v>197</v>
      </c>
      <c r="E55" s="44" t="s">
        <v>198</v>
      </c>
      <c r="F55" s="44" t="s">
        <v>199</v>
      </c>
      <c r="G55" s="42" t="s">
        <v>68</v>
      </c>
      <c r="H55" s="46" t="s">
        <v>76</v>
      </c>
      <c r="I55" s="52" t="s">
        <v>58</v>
      </c>
      <c r="J55" s="44" t="s">
        <v>59</v>
      </c>
      <c r="K55" s="39" t="s">
        <v>60</v>
      </c>
      <c r="L55" s="54" t="s">
        <v>59</v>
      </c>
      <c r="M55" s="44" t="s">
        <v>59</v>
      </c>
    </row>
    <row r="56" ht="66" customHeight="1" spans="1:13" x14ac:dyDescent="0.25">
      <c r="A56" s="33">
        <v>3</v>
      </c>
      <c r="B56" s="34" t="s">
        <v>200</v>
      </c>
      <c r="C56" s="35" t="s">
        <v>201</v>
      </c>
      <c r="D56" s="36" t="s">
        <v>202</v>
      </c>
      <c r="E56" s="35" t="s">
        <v>203</v>
      </c>
      <c r="F56" s="35" t="s">
        <v>204</v>
      </c>
      <c r="G56" s="33" t="s">
        <v>68</v>
      </c>
      <c r="H56" s="50" t="s">
        <v>76</v>
      </c>
      <c r="I56" s="38" t="s">
        <v>58</v>
      </c>
      <c r="J56" s="35" t="s">
        <v>205</v>
      </c>
      <c r="K56" s="48" t="s">
        <v>78</v>
      </c>
      <c r="L56" s="51" t="s">
        <v>206</v>
      </c>
      <c r="M56" s="35" t="s">
        <v>59</v>
      </c>
    </row>
    <row r="57" ht="81" customHeight="1" spans="1:13" x14ac:dyDescent="0.25">
      <c r="A57" s="42">
        <v>4</v>
      </c>
      <c r="B57" s="43" t="s">
        <v>207</v>
      </c>
      <c r="C57" s="44" t="s">
        <v>208</v>
      </c>
      <c r="D57" s="45" t="s">
        <v>209</v>
      </c>
      <c r="E57" s="44" t="s">
        <v>210</v>
      </c>
      <c r="F57" s="44" t="s">
        <v>211</v>
      </c>
      <c r="G57" s="42" t="s">
        <v>56</v>
      </c>
      <c r="H57" s="57" t="s">
        <v>57</v>
      </c>
      <c r="I57" s="47" t="s">
        <v>69</v>
      </c>
      <c r="J57" s="44" t="s">
        <v>59</v>
      </c>
      <c r="K57" s="39" t="s">
        <v>60</v>
      </c>
      <c r="L57" s="54" t="s">
        <v>59</v>
      </c>
      <c r="M57" s="44" t="s">
        <v>59</v>
      </c>
    </row>
    <row r="58" ht="96" customHeight="1" spans="1:13" x14ac:dyDescent="0.25">
      <c r="A58" s="33">
        <v>5</v>
      </c>
      <c r="B58" s="34" t="s">
        <v>212</v>
      </c>
      <c r="C58" s="35" t="s">
        <v>213</v>
      </c>
      <c r="D58" s="36" t="s">
        <v>214</v>
      </c>
      <c r="E58" s="35" t="s">
        <v>215</v>
      </c>
      <c r="F58" s="35" t="s">
        <v>216</v>
      </c>
      <c r="G58" s="33" t="s">
        <v>56</v>
      </c>
      <c r="H58" s="50" t="s">
        <v>76</v>
      </c>
      <c r="I58" s="53" t="s">
        <v>108</v>
      </c>
      <c r="J58" s="35" t="s">
        <v>217</v>
      </c>
      <c r="K58" s="48" t="s">
        <v>78</v>
      </c>
      <c r="L58" s="51" t="s">
        <v>218</v>
      </c>
      <c r="M58" s="35" t="s">
        <v>59</v>
      </c>
    </row>
    <row r="59" ht="66" customHeight="1" spans="1:13" x14ac:dyDescent="0.25">
      <c r="A59" s="42">
        <v>6</v>
      </c>
      <c r="B59" s="43" t="s">
        <v>219</v>
      </c>
      <c r="C59" s="44" t="s">
        <v>220</v>
      </c>
      <c r="D59" s="45" t="s">
        <v>221</v>
      </c>
      <c r="E59" s="44" t="s">
        <v>222</v>
      </c>
      <c r="F59" s="44" t="s">
        <v>223</v>
      </c>
      <c r="G59" s="42" t="s">
        <v>107</v>
      </c>
      <c r="H59" s="46" t="s">
        <v>76</v>
      </c>
      <c r="I59" s="52" t="s">
        <v>58</v>
      </c>
      <c r="J59" s="44" t="s">
        <v>59</v>
      </c>
      <c r="K59" s="39" t="s">
        <v>60</v>
      </c>
      <c r="L59" s="54" t="s">
        <v>59</v>
      </c>
      <c r="M59" s="44" t="s">
        <v>59</v>
      </c>
    </row>
    <row r="60" ht="66" customHeight="1" spans="1:13" x14ac:dyDescent="0.25">
      <c r="A60" s="33">
        <v>7</v>
      </c>
      <c r="B60" s="34" t="s">
        <v>224</v>
      </c>
      <c r="C60" s="35" t="s">
        <v>225</v>
      </c>
      <c r="D60" s="36" t="s">
        <v>226</v>
      </c>
      <c r="E60" s="35" t="s">
        <v>227</v>
      </c>
      <c r="F60" s="35" t="s">
        <v>228</v>
      </c>
      <c r="G60" s="33" t="s">
        <v>107</v>
      </c>
      <c r="H60" s="50" t="s">
        <v>76</v>
      </c>
      <c r="I60" s="53" t="s">
        <v>108</v>
      </c>
      <c r="J60" s="35" t="s">
        <v>59</v>
      </c>
      <c r="K60" s="39" t="s">
        <v>60</v>
      </c>
      <c r="L60" s="40" t="s">
        <v>59</v>
      </c>
      <c r="M60" s="35" t="s">
        <v>59</v>
      </c>
    </row>
    <row r="61" ht="81" customHeight="1" spans="1:13" x14ac:dyDescent="0.25">
      <c r="A61" s="42">
        <v>8</v>
      </c>
      <c r="B61" s="43" t="s">
        <v>229</v>
      </c>
      <c r="C61" s="44" t="s">
        <v>230</v>
      </c>
      <c r="D61" s="45" t="s">
        <v>231</v>
      </c>
      <c r="E61" s="44" t="s">
        <v>232</v>
      </c>
      <c r="F61" s="44" t="s">
        <v>233</v>
      </c>
      <c r="G61" s="42" t="s">
        <v>68</v>
      </c>
      <c r="H61" s="46" t="s">
        <v>76</v>
      </c>
      <c r="I61" s="47" t="s">
        <v>69</v>
      </c>
      <c r="J61" s="44" t="s">
        <v>234</v>
      </c>
      <c r="K61" s="48" t="s">
        <v>78</v>
      </c>
      <c r="L61" s="49" t="s">
        <v>235</v>
      </c>
      <c r="M61" s="44" t="s">
        <v>59</v>
      </c>
    </row>
    <row r="62" ht="111" customHeight="1" spans="1:13" x14ac:dyDescent="0.25">
      <c r="A62" s="33">
        <v>9</v>
      </c>
      <c r="B62" s="34" t="s">
        <v>236</v>
      </c>
      <c r="C62" s="35" t="s">
        <v>237</v>
      </c>
      <c r="D62" s="36" t="s">
        <v>238</v>
      </c>
      <c r="E62" s="35" t="s">
        <v>239</v>
      </c>
      <c r="F62" s="35" t="s">
        <v>240</v>
      </c>
      <c r="G62" s="33" t="s">
        <v>56</v>
      </c>
      <c r="H62" s="37" t="s">
        <v>57</v>
      </c>
      <c r="I62" s="41" t="s">
        <v>69</v>
      </c>
      <c r="J62" s="35" t="s">
        <v>241</v>
      </c>
      <c r="K62" s="48" t="s">
        <v>78</v>
      </c>
      <c r="L62" s="51" t="s">
        <v>242</v>
      </c>
      <c r="M62" s="35" t="s">
        <v>59</v>
      </c>
    </row>
    <row r="64" ht="28" customHeight="1" spans="1:13" x14ac:dyDescent="0.25">
      <c r="A64" s="30" t="s">
        <v>243</v>
      </c>
      <c r="B64" s="30"/>
      <c r="C64" s="30"/>
      <c r="D64" s="30"/>
      <c r="E64" s="30"/>
      <c r="F64" s="30"/>
      <c r="G64" s="30"/>
      <c r="H64" s="30"/>
      <c r="I64" s="30"/>
      <c r="J64" s="30"/>
      <c r="K64" s="30"/>
      <c r="L64" s="30"/>
      <c r="M64" s="31" t="str">
        <f>HYPERLINK("#'Test Cases'!A5","↑ Summary")</f>
        <v>↑ Summary</v>
      </c>
    </row>
    <row r="65" ht="18" customHeight="1" spans="1:13" x14ac:dyDescent="0.25">
      <c r="A65" s="32" t="s">
        <v>244</v>
      </c>
      <c r="B65" s="32"/>
      <c r="C65" s="32"/>
      <c r="D65" s="32"/>
      <c r="E65" s="32"/>
      <c r="F65" s="32"/>
      <c r="G65" s="32"/>
      <c r="H65" s="32"/>
      <c r="I65" s="32"/>
      <c r="J65" s="32"/>
      <c r="K65" s="32"/>
      <c r="L65" s="32"/>
      <c r="M65" s="32"/>
    </row>
    <row r="66" ht="30" customHeight="1" spans="1:13" x14ac:dyDescent="0.25">
      <c r="A66" s="10" t="s">
        <v>38</v>
      </c>
      <c r="B66" s="10" t="s">
        <v>39</v>
      </c>
      <c r="C66" s="10" t="s">
        <v>40</v>
      </c>
      <c r="D66" s="10" t="s">
        <v>41</v>
      </c>
      <c r="E66" s="10" t="s">
        <v>42</v>
      </c>
      <c r="F66" s="10" t="s">
        <v>43</v>
      </c>
      <c r="G66" s="10" t="s">
        <v>44</v>
      </c>
      <c r="H66" s="10" t="s">
        <v>45</v>
      </c>
      <c r="I66" s="10" t="s">
        <v>46</v>
      </c>
      <c r="J66" s="10" t="s">
        <v>47</v>
      </c>
      <c r="K66" s="10" t="s">
        <v>48</v>
      </c>
      <c r="L66" s="10" t="s">
        <v>49</v>
      </c>
      <c r="M66" s="10" t="s">
        <v>50</v>
      </c>
    </row>
    <row r="67" ht="96" customHeight="1" spans="1:13" x14ac:dyDescent="0.25">
      <c r="A67" s="33">
        <v>1</v>
      </c>
      <c r="B67" s="34" t="s">
        <v>245</v>
      </c>
      <c r="C67" s="35" t="s">
        <v>246</v>
      </c>
      <c r="D67" s="36" t="s">
        <v>247</v>
      </c>
      <c r="E67" s="35" t="s">
        <v>248</v>
      </c>
      <c r="F67" s="35" t="s">
        <v>249</v>
      </c>
      <c r="G67" s="33" t="s">
        <v>56</v>
      </c>
      <c r="H67" s="50" t="s">
        <v>76</v>
      </c>
      <c r="I67" s="38" t="s">
        <v>58</v>
      </c>
      <c r="J67" s="35" t="s">
        <v>250</v>
      </c>
      <c r="K67" s="48" t="s">
        <v>78</v>
      </c>
      <c r="L67" s="51" t="s">
        <v>251</v>
      </c>
      <c r="M67" s="35" t="s">
        <v>59</v>
      </c>
    </row>
    <row r="68" ht="96" customHeight="1" spans="1:13" x14ac:dyDescent="0.25">
      <c r="A68" s="42">
        <v>2</v>
      </c>
      <c r="B68" s="43" t="s">
        <v>252</v>
      </c>
      <c r="C68" s="44" t="s">
        <v>253</v>
      </c>
      <c r="D68" s="45" t="s">
        <v>254</v>
      </c>
      <c r="E68" s="44" t="s">
        <v>255</v>
      </c>
      <c r="F68" s="44" t="s">
        <v>256</v>
      </c>
      <c r="G68" s="42" t="s">
        <v>56</v>
      </c>
      <c r="H68" s="46" t="s">
        <v>76</v>
      </c>
      <c r="I68" s="58" t="s">
        <v>108</v>
      </c>
      <c r="J68" s="44" t="s">
        <v>250</v>
      </c>
      <c r="K68" s="48" t="s">
        <v>78</v>
      </c>
      <c r="L68" s="49" t="s">
        <v>257</v>
      </c>
      <c r="M68" s="44" t="s">
        <v>59</v>
      </c>
    </row>
    <row r="69" ht="96" customHeight="1" spans="1:13" x14ac:dyDescent="0.25">
      <c r="A69" s="33">
        <v>3</v>
      </c>
      <c r="B69" s="34" t="s">
        <v>258</v>
      </c>
      <c r="C69" s="35" t="s">
        <v>259</v>
      </c>
      <c r="D69" s="36" t="s">
        <v>260</v>
      </c>
      <c r="E69" s="35" t="s">
        <v>261</v>
      </c>
      <c r="F69" s="35" t="s">
        <v>262</v>
      </c>
      <c r="G69" s="33" t="s">
        <v>56</v>
      </c>
      <c r="H69" s="50" t="s">
        <v>76</v>
      </c>
      <c r="I69" s="53" t="s">
        <v>108</v>
      </c>
      <c r="J69" s="35" t="s">
        <v>250</v>
      </c>
      <c r="K69" s="48" t="s">
        <v>78</v>
      </c>
      <c r="L69" s="51" t="s">
        <v>263</v>
      </c>
      <c r="M69" s="35" t="s">
        <v>59</v>
      </c>
    </row>
    <row r="70" ht="96" customHeight="1" spans="1:13" x14ac:dyDescent="0.25">
      <c r="A70" s="42">
        <v>4</v>
      </c>
      <c r="B70" s="43" t="s">
        <v>264</v>
      </c>
      <c r="C70" s="44" t="s">
        <v>265</v>
      </c>
      <c r="D70" s="45" t="s">
        <v>266</v>
      </c>
      <c r="E70" s="44" t="s">
        <v>267</v>
      </c>
      <c r="F70" s="44" t="s">
        <v>268</v>
      </c>
      <c r="G70" s="42" t="s">
        <v>107</v>
      </c>
      <c r="H70" s="46" t="s">
        <v>76</v>
      </c>
      <c r="I70" s="58" t="s">
        <v>108</v>
      </c>
      <c r="J70" s="44" t="s">
        <v>59</v>
      </c>
      <c r="K70" s="39" t="s">
        <v>60</v>
      </c>
      <c r="L70" s="54" t="s">
        <v>59</v>
      </c>
      <c r="M70" s="44" t="s">
        <v>59</v>
      </c>
    </row>
    <row r="71" ht="126" customHeight="1" spans="1:13" x14ac:dyDescent="0.25">
      <c r="A71" s="33">
        <v>5</v>
      </c>
      <c r="B71" s="34" t="s">
        <v>269</v>
      </c>
      <c r="C71" s="35" t="s">
        <v>270</v>
      </c>
      <c r="D71" s="36" t="s">
        <v>271</v>
      </c>
      <c r="E71" s="35" t="s">
        <v>272</v>
      </c>
      <c r="F71" s="35" t="s">
        <v>273</v>
      </c>
      <c r="G71" s="33" t="s">
        <v>107</v>
      </c>
      <c r="H71" s="50" t="s">
        <v>76</v>
      </c>
      <c r="I71" s="53" t="s">
        <v>108</v>
      </c>
      <c r="J71" s="35" t="s">
        <v>274</v>
      </c>
      <c r="K71" s="48" t="s">
        <v>78</v>
      </c>
      <c r="L71" s="51" t="s">
        <v>275</v>
      </c>
      <c r="M71" s="35" t="s">
        <v>59</v>
      </c>
    </row>
    <row r="73" ht="28" customHeight="1" spans="1:13" x14ac:dyDescent="0.25">
      <c r="A73" s="30" t="s">
        <v>276</v>
      </c>
      <c r="B73" s="30"/>
      <c r="C73" s="30"/>
      <c r="D73" s="30"/>
      <c r="E73" s="30"/>
      <c r="F73" s="30"/>
      <c r="G73" s="30"/>
      <c r="H73" s="30"/>
      <c r="I73" s="30"/>
      <c r="J73" s="30"/>
      <c r="K73" s="30"/>
      <c r="L73" s="30"/>
      <c r="M73" s="31" t="str">
        <f>HYPERLINK("#'Test Cases'!A5","↑ Summary")</f>
        <v>↑ Summary</v>
      </c>
    </row>
    <row r="74" ht="18" customHeight="1" spans="1:13" x14ac:dyDescent="0.25">
      <c r="A74" s="32" t="s">
        <v>277</v>
      </c>
      <c r="B74" s="32"/>
      <c r="C74" s="32"/>
      <c r="D74" s="32"/>
      <c r="E74" s="32"/>
      <c r="F74" s="32"/>
      <c r="G74" s="32"/>
      <c r="H74" s="32"/>
      <c r="I74" s="32"/>
      <c r="J74" s="32"/>
      <c r="K74" s="32"/>
      <c r="L74" s="32"/>
      <c r="M74" s="32"/>
    </row>
    <row r="75" ht="30" customHeight="1" spans="1:13" x14ac:dyDescent="0.25">
      <c r="A75" s="10" t="s">
        <v>38</v>
      </c>
      <c r="B75" s="10" t="s">
        <v>39</v>
      </c>
      <c r="C75" s="10" t="s">
        <v>40</v>
      </c>
      <c r="D75" s="10" t="s">
        <v>41</v>
      </c>
      <c r="E75" s="10" t="s">
        <v>42</v>
      </c>
      <c r="F75" s="10" t="s">
        <v>43</v>
      </c>
      <c r="G75" s="10" t="s">
        <v>44</v>
      </c>
      <c r="H75" s="10" t="s">
        <v>45</v>
      </c>
      <c r="I75" s="10" t="s">
        <v>46</v>
      </c>
      <c r="J75" s="10" t="s">
        <v>47</v>
      </c>
      <c r="K75" s="10" t="s">
        <v>48</v>
      </c>
      <c r="L75" s="10" t="s">
        <v>49</v>
      </c>
      <c r="M75" s="10" t="s">
        <v>50</v>
      </c>
    </row>
    <row r="76" ht="81" customHeight="1" spans="1:13" x14ac:dyDescent="0.25">
      <c r="A76" s="33">
        <v>1</v>
      </c>
      <c r="B76" s="34" t="s">
        <v>278</v>
      </c>
      <c r="C76" s="35" t="s">
        <v>279</v>
      </c>
      <c r="D76" s="36" t="s">
        <v>280</v>
      </c>
      <c r="E76" s="35" t="s">
        <v>281</v>
      </c>
      <c r="F76" s="35" t="s">
        <v>282</v>
      </c>
      <c r="G76" s="33" t="s">
        <v>56</v>
      </c>
      <c r="H76" s="37" t="s">
        <v>57</v>
      </c>
      <c r="I76" s="38" t="s">
        <v>58</v>
      </c>
      <c r="J76" s="35" t="s">
        <v>59</v>
      </c>
      <c r="K76" s="39" t="s">
        <v>60</v>
      </c>
      <c r="L76" s="40" t="s">
        <v>59</v>
      </c>
      <c r="M76" s="35" t="s">
        <v>59</v>
      </c>
    </row>
    <row r="77" ht="66" customHeight="1" spans="1:13" x14ac:dyDescent="0.25">
      <c r="A77" s="42">
        <v>2</v>
      </c>
      <c r="B77" s="43" t="s">
        <v>283</v>
      </c>
      <c r="C77" s="44" t="s">
        <v>284</v>
      </c>
      <c r="D77" s="45" t="s">
        <v>285</v>
      </c>
      <c r="E77" s="44" t="s">
        <v>286</v>
      </c>
      <c r="F77" s="44" t="s">
        <v>287</v>
      </c>
      <c r="G77" s="42" t="s">
        <v>107</v>
      </c>
      <c r="H77" s="46" t="s">
        <v>76</v>
      </c>
      <c r="I77" s="58" t="s">
        <v>108</v>
      </c>
      <c r="J77" s="44" t="s">
        <v>59</v>
      </c>
      <c r="K77" s="39" t="s">
        <v>60</v>
      </c>
      <c r="L77" s="54" t="s">
        <v>59</v>
      </c>
      <c r="M77" s="44" t="s">
        <v>59</v>
      </c>
    </row>
    <row r="78" ht="96" customHeight="1" spans="1:13" x14ac:dyDescent="0.25">
      <c r="A78" s="33">
        <v>3</v>
      </c>
      <c r="B78" s="34" t="s">
        <v>288</v>
      </c>
      <c r="C78" s="35" t="s">
        <v>289</v>
      </c>
      <c r="D78" s="36" t="s">
        <v>290</v>
      </c>
      <c r="E78" s="35" t="s">
        <v>291</v>
      </c>
      <c r="F78" s="35" t="s">
        <v>292</v>
      </c>
      <c r="G78" s="33" t="s">
        <v>107</v>
      </c>
      <c r="H78" s="50" t="s">
        <v>76</v>
      </c>
      <c r="I78" s="53" t="s">
        <v>108</v>
      </c>
      <c r="J78" s="35" t="s">
        <v>59</v>
      </c>
      <c r="K78" s="39" t="s">
        <v>60</v>
      </c>
      <c r="L78" s="40" t="s">
        <v>59</v>
      </c>
      <c r="M78" s="35" t="s">
        <v>59</v>
      </c>
    </row>
    <row r="80" ht="28" customHeight="1" spans="1:13" x14ac:dyDescent="0.25">
      <c r="A80" s="30" t="s">
        <v>293</v>
      </c>
      <c r="B80" s="30"/>
      <c r="C80" s="30"/>
      <c r="D80" s="30"/>
      <c r="E80" s="30"/>
      <c r="F80" s="30"/>
      <c r="G80" s="30"/>
      <c r="H80" s="30"/>
      <c r="I80" s="30"/>
      <c r="J80" s="30"/>
      <c r="K80" s="30"/>
      <c r="L80" s="30"/>
      <c r="M80" s="31" t="str">
        <f>HYPERLINK("#'Test Cases'!A5","↑ Summary")</f>
        <v>↑ Summary</v>
      </c>
    </row>
    <row r="81" ht="18" customHeight="1" spans="1:13" x14ac:dyDescent="0.25">
      <c r="A81" s="32" t="s">
        <v>294</v>
      </c>
      <c r="B81" s="32"/>
      <c r="C81" s="32"/>
      <c r="D81" s="32"/>
      <c r="E81" s="32"/>
      <c r="F81" s="32"/>
      <c r="G81" s="32"/>
      <c r="H81" s="32"/>
      <c r="I81" s="32"/>
      <c r="J81" s="32"/>
      <c r="K81" s="32"/>
      <c r="L81" s="32"/>
      <c r="M81" s="32"/>
    </row>
    <row r="82" ht="30" customHeight="1" spans="1:13" x14ac:dyDescent="0.25">
      <c r="A82" s="10" t="s">
        <v>38</v>
      </c>
      <c r="B82" s="10" t="s">
        <v>39</v>
      </c>
      <c r="C82" s="10" t="s">
        <v>40</v>
      </c>
      <c r="D82" s="10" t="s">
        <v>41</v>
      </c>
      <c r="E82" s="10" t="s">
        <v>42</v>
      </c>
      <c r="F82" s="10" t="s">
        <v>43</v>
      </c>
      <c r="G82" s="10" t="s">
        <v>44</v>
      </c>
      <c r="H82" s="10" t="s">
        <v>45</v>
      </c>
      <c r="I82" s="10" t="s">
        <v>46</v>
      </c>
      <c r="J82" s="10" t="s">
        <v>47</v>
      </c>
      <c r="K82" s="10" t="s">
        <v>48</v>
      </c>
      <c r="L82" s="10" t="s">
        <v>49</v>
      </c>
      <c r="M82" s="10" t="s">
        <v>50</v>
      </c>
    </row>
    <row r="83" ht="111" customHeight="1" spans="1:13" x14ac:dyDescent="0.25">
      <c r="A83" s="33">
        <v>1</v>
      </c>
      <c r="B83" s="34" t="s">
        <v>295</v>
      </c>
      <c r="C83" s="35" t="s">
        <v>296</v>
      </c>
      <c r="D83" s="36" t="s">
        <v>297</v>
      </c>
      <c r="E83" s="35" t="s">
        <v>298</v>
      </c>
      <c r="F83" s="35" t="s">
        <v>299</v>
      </c>
      <c r="G83" s="33" t="s">
        <v>56</v>
      </c>
      <c r="H83" s="50" t="s">
        <v>76</v>
      </c>
      <c r="I83" s="38" t="s">
        <v>58</v>
      </c>
      <c r="J83" s="35" t="s">
        <v>300</v>
      </c>
      <c r="K83" s="48" t="s">
        <v>78</v>
      </c>
      <c r="L83" s="51" t="s">
        <v>301</v>
      </c>
      <c r="M83" s="35" t="s">
        <v>59</v>
      </c>
    </row>
    <row r="85" ht="28" customHeight="1" spans="1:13" x14ac:dyDescent="0.25">
      <c r="A85" s="30" t="s">
        <v>302</v>
      </c>
      <c r="B85" s="30"/>
      <c r="C85" s="30"/>
      <c r="D85" s="30"/>
      <c r="E85" s="30"/>
      <c r="F85" s="30"/>
      <c r="G85" s="30"/>
      <c r="H85" s="30"/>
      <c r="I85" s="30"/>
      <c r="J85" s="30"/>
      <c r="K85" s="30"/>
      <c r="L85" s="30"/>
      <c r="M85" s="31" t="str">
        <f>HYPERLINK("#'Test Cases'!A5","↑ Summary")</f>
        <v>↑ Summary</v>
      </c>
    </row>
    <row r="86" ht="18" customHeight="1" spans="1:13" x14ac:dyDescent="0.25">
      <c r="A86" s="32" t="s">
        <v>303</v>
      </c>
      <c r="B86" s="32"/>
      <c r="C86" s="32"/>
      <c r="D86" s="32"/>
      <c r="E86" s="32"/>
      <c r="F86" s="32"/>
      <c r="G86" s="32"/>
      <c r="H86" s="32"/>
      <c r="I86" s="32"/>
      <c r="J86" s="32"/>
      <c r="K86" s="32"/>
      <c r="L86" s="32"/>
      <c r="M86" s="32"/>
    </row>
    <row r="87" ht="30" customHeight="1" spans="1:13" x14ac:dyDescent="0.25">
      <c r="A87" s="10" t="s">
        <v>38</v>
      </c>
      <c r="B87" s="10" t="s">
        <v>39</v>
      </c>
      <c r="C87" s="10" t="s">
        <v>40</v>
      </c>
      <c r="D87" s="10" t="s">
        <v>41</v>
      </c>
      <c r="E87" s="10" t="s">
        <v>42</v>
      </c>
      <c r="F87" s="10" t="s">
        <v>43</v>
      </c>
      <c r="G87" s="10" t="s">
        <v>44</v>
      </c>
      <c r="H87" s="10" t="s">
        <v>45</v>
      </c>
      <c r="I87" s="10" t="s">
        <v>46</v>
      </c>
      <c r="J87" s="10" t="s">
        <v>47</v>
      </c>
      <c r="K87" s="10" t="s">
        <v>48</v>
      </c>
      <c r="L87" s="10" t="s">
        <v>49</v>
      </c>
      <c r="M87" s="10" t="s">
        <v>50</v>
      </c>
    </row>
    <row r="88" ht="111" customHeight="1" spans="1:13" x14ac:dyDescent="0.25">
      <c r="A88" s="33">
        <v>1</v>
      </c>
      <c r="B88" s="34" t="s">
        <v>304</v>
      </c>
      <c r="C88" s="35" t="s">
        <v>305</v>
      </c>
      <c r="D88" s="36" t="s">
        <v>306</v>
      </c>
      <c r="E88" s="35" t="s">
        <v>307</v>
      </c>
      <c r="F88" s="35" t="s">
        <v>308</v>
      </c>
      <c r="G88" s="33" t="s">
        <v>56</v>
      </c>
      <c r="H88" s="50" t="s">
        <v>76</v>
      </c>
      <c r="I88" s="38" t="s">
        <v>58</v>
      </c>
      <c r="J88" s="35" t="s">
        <v>300</v>
      </c>
      <c r="K88" s="48" t="s">
        <v>78</v>
      </c>
      <c r="L88" s="51" t="s">
        <v>301</v>
      </c>
      <c r="M88" s="35" t="s">
        <v>59</v>
      </c>
    </row>
    <row r="89" ht="111" customHeight="1" spans="1:13" x14ac:dyDescent="0.25">
      <c r="A89" s="42">
        <v>2</v>
      </c>
      <c r="B89" s="43" t="s">
        <v>309</v>
      </c>
      <c r="C89" s="44" t="s">
        <v>310</v>
      </c>
      <c r="D89" s="45" t="s">
        <v>311</v>
      </c>
      <c r="E89" s="44" t="s">
        <v>312</v>
      </c>
      <c r="F89" s="44" t="s">
        <v>313</v>
      </c>
      <c r="G89" s="42" t="s">
        <v>107</v>
      </c>
      <c r="H89" s="46" t="s">
        <v>76</v>
      </c>
      <c r="I89" s="58" t="s">
        <v>108</v>
      </c>
      <c r="J89" s="44" t="s">
        <v>300</v>
      </c>
      <c r="K89" s="48" t="s">
        <v>78</v>
      </c>
      <c r="L89" s="49" t="s">
        <v>301</v>
      </c>
      <c r="M89" s="44" t="s">
        <v>59</v>
      </c>
    </row>
    <row r="91" ht="28" customHeight="1" spans="1:13" x14ac:dyDescent="0.25">
      <c r="A91" s="30" t="s">
        <v>314</v>
      </c>
      <c r="B91" s="30"/>
      <c r="C91" s="30"/>
      <c r="D91" s="30"/>
      <c r="E91" s="30"/>
      <c r="F91" s="30"/>
      <c r="G91" s="30"/>
      <c r="H91" s="30"/>
      <c r="I91" s="30"/>
      <c r="J91" s="30"/>
      <c r="K91" s="30"/>
      <c r="L91" s="30"/>
      <c r="M91" s="31" t="str">
        <f>HYPERLINK("#'Test Cases'!A5","↑ Summary")</f>
        <v>↑ Summary</v>
      </c>
    </row>
    <row r="92" ht="18" customHeight="1" spans="1:13" x14ac:dyDescent="0.25">
      <c r="A92" s="32" t="s">
        <v>315</v>
      </c>
      <c r="B92" s="32"/>
      <c r="C92" s="32"/>
      <c r="D92" s="32"/>
      <c r="E92" s="32"/>
      <c r="F92" s="32"/>
      <c r="G92" s="32"/>
      <c r="H92" s="32"/>
      <c r="I92" s="32"/>
      <c r="J92" s="32"/>
      <c r="K92" s="32"/>
      <c r="L92" s="32"/>
      <c r="M92" s="32"/>
    </row>
    <row r="93" ht="30" customHeight="1" spans="1:13" x14ac:dyDescent="0.25">
      <c r="A93" s="10" t="s">
        <v>38</v>
      </c>
      <c r="B93" s="10" t="s">
        <v>39</v>
      </c>
      <c r="C93" s="10" t="s">
        <v>40</v>
      </c>
      <c r="D93" s="10" t="s">
        <v>41</v>
      </c>
      <c r="E93" s="10" t="s">
        <v>42</v>
      </c>
      <c r="F93" s="10" t="s">
        <v>43</v>
      </c>
      <c r="G93" s="10" t="s">
        <v>44</v>
      </c>
      <c r="H93" s="10" t="s">
        <v>45</v>
      </c>
      <c r="I93" s="10" t="s">
        <v>46</v>
      </c>
      <c r="J93" s="10" t="s">
        <v>47</v>
      </c>
      <c r="K93" s="10" t="s">
        <v>48</v>
      </c>
      <c r="L93" s="10" t="s">
        <v>49</v>
      </c>
      <c r="M93" s="10" t="s">
        <v>50</v>
      </c>
    </row>
    <row r="94" ht="111" customHeight="1" spans="1:13" x14ac:dyDescent="0.25">
      <c r="A94" s="33">
        <v>1</v>
      </c>
      <c r="B94" s="34" t="s">
        <v>316</v>
      </c>
      <c r="C94" s="35" t="s">
        <v>317</v>
      </c>
      <c r="D94" s="36" t="s">
        <v>318</v>
      </c>
      <c r="E94" s="35" t="s">
        <v>319</v>
      </c>
      <c r="F94" s="35" t="s">
        <v>320</v>
      </c>
      <c r="G94" s="33" t="s">
        <v>56</v>
      </c>
      <c r="H94" s="50" t="s">
        <v>76</v>
      </c>
      <c r="I94" s="38" t="s">
        <v>58</v>
      </c>
      <c r="J94" s="35" t="s">
        <v>300</v>
      </c>
      <c r="K94" s="48" t="s">
        <v>78</v>
      </c>
      <c r="L94" s="51" t="s">
        <v>301</v>
      </c>
      <c r="M94" s="35" t="s">
        <v>59</v>
      </c>
    </row>
    <row r="96" ht="28" customHeight="1" spans="1:13" x14ac:dyDescent="0.25">
      <c r="A96" s="30" t="s">
        <v>321</v>
      </c>
      <c r="B96" s="30"/>
      <c r="C96" s="30"/>
      <c r="D96" s="30"/>
      <c r="E96" s="30"/>
      <c r="F96" s="30"/>
      <c r="G96" s="30"/>
      <c r="H96" s="30"/>
      <c r="I96" s="30"/>
      <c r="J96" s="30"/>
      <c r="K96" s="30"/>
      <c r="L96" s="30"/>
      <c r="M96" s="31" t="str">
        <f>HYPERLINK("#'Test Cases'!A5","↑ Summary")</f>
        <v>↑ Summary</v>
      </c>
    </row>
    <row r="97" ht="18" customHeight="1" spans="1:13" x14ac:dyDescent="0.25">
      <c r="A97" s="32" t="s">
        <v>322</v>
      </c>
      <c r="B97" s="32"/>
      <c r="C97" s="32"/>
      <c r="D97" s="32"/>
      <c r="E97" s="32"/>
      <c r="F97" s="32"/>
      <c r="G97" s="32"/>
      <c r="H97" s="32"/>
      <c r="I97" s="32"/>
      <c r="J97" s="32"/>
      <c r="K97" s="32"/>
      <c r="L97" s="32"/>
      <c r="M97" s="32"/>
    </row>
    <row r="98" ht="30" customHeight="1" spans="1:13" x14ac:dyDescent="0.25">
      <c r="A98" s="10" t="s">
        <v>38</v>
      </c>
      <c r="B98" s="10" t="s">
        <v>39</v>
      </c>
      <c r="C98" s="10" t="s">
        <v>40</v>
      </c>
      <c r="D98" s="10" t="s">
        <v>41</v>
      </c>
      <c r="E98" s="10" t="s">
        <v>42</v>
      </c>
      <c r="F98" s="10" t="s">
        <v>43</v>
      </c>
      <c r="G98" s="10" t="s">
        <v>44</v>
      </c>
      <c r="H98" s="10" t="s">
        <v>45</v>
      </c>
      <c r="I98" s="10" t="s">
        <v>46</v>
      </c>
      <c r="J98" s="10" t="s">
        <v>47</v>
      </c>
      <c r="K98" s="10" t="s">
        <v>48</v>
      </c>
      <c r="L98" s="10" t="s">
        <v>49</v>
      </c>
      <c r="M98" s="10" t="s">
        <v>50</v>
      </c>
    </row>
    <row r="99" ht="96" customHeight="1" spans="1:13" x14ac:dyDescent="0.25">
      <c r="A99" s="33">
        <v>1</v>
      </c>
      <c r="B99" s="34" t="s">
        <v>323</v>
      </c>
      <c r="C99" s="35" t="s">
        <v>324</v>
      </c>
      <c r="D99" s="36" t="s">
        <v>325</v>
      </c>
      <c r="E99" s="35" t="s">
        <v>326</v>
      </c>
      <c r="F99" s="35" t="s">
        <v>327</v>
      </c>
      <c r="G99" s="33" t="s">
        <v>56</v>
      </c>
      <c r="H99" s="50" t="s">
        <v>76</v>
      </c>
      <c r="I99" s="38" t="s">
        <v>58</v>
      </c>
      <c r="J99" s="35" t="s">
        <v>328</v>
      </c>
      <c r="K99" s="48" t="s">
        <v>78</v>
      </c>
      <c r="L99" s="51" t="s">
        <v>329</v>
      </c>
      <c r="M99" s="35" t="s">
        <v>59</v>
      </c>
    </row>
    <row r="101" ht="28" customHeight="1" spans="1:13" x14ac:dyDescent="0.25">
      <c r="A101" s="30" t="s">
        <v>330</v>
      </c>
      <c r="B101" s="30"/>
      <c r="C101" s="30"/>
      <c r="D101" s="30"/>
      <c r="E101" s="30"/>
      <c r="F101" s="30"/>
      <c r="G101" s="30"/>
      <c r="H101" s="30"/>
      <c r="I101" s="30"/>
      <c r="J101" s="30"/>
      <c r="K101" s="30"/>
      <c r="L101" s="30"/>
      <c r="M101" s="31" t="str">
        <f>HYPERLINK("#'Test Cases'!A5","↑ Summary")</f>
        <v>↑ Summary</v>
      </c>
    </row>
    <row r="102" ht="18" customHeight="1" spans="1:13" x14ac:dyDescent="0.25">
      <c r="A102" s="32" t="s">
        <v>331</v>
      </c>
      <c r="B102" s="32"/>
      <c r="C102" s="32"/>
      <c r="D102" s="32"/>
      <c r="E102" s="32"/>
      <c r="F102" s="32"/>
      <c r="G102" s="32"/>
      <c r="H102" s="32"/>
      <c r="I102" s="32"/>
      <c r="J102" s="32"/>
      <c r="K102" s="32"/>
      <c r="L102" s="32"/>
      <c r="M102" s="32"/>
    </row>
    <row r="103" ht="30" customHeight="1" spans="1:13" x14ac:dyDescent="0.25">
      <c r="A103" s="10" t="s">
        <v>38</v>
      </c>
      <c r="B103" s="10" t="s">
        <v>39</v>
      </c>
      <c r="C103" s="10" t="s">
        <v>40</v>
      </c>
      <c r="D103" s="10" t="s">
        <v>41</v>
      </c>
      <c r="E103" s="10" t="s">
        <v>42</v>
      </c>
      <c r="F103" s="10" t="s">
        <v>43</v>
      </c>
      <c r="G103" s="10" t="s">
        <v>44</v>
      </c>
      <c r="H103" s="10" t="s">
        <v>45</v>
      </c>
      <c r="I103" s="10" t="s">
        <v>46</v>
      </c>
      <c r="J103" s="10" t="s">
        <v>47</v>
      </c>
      <c r="K103" s="10" t="s">
        <v>48</v>
      </c>
      <c r="L103" s="10" t="s">
        <v>49</v>
      </c>
      <c r="M103" s="10" t="s">
        <v>50</v>
      </c>
    </row>
    <row r="104" ht="96" customHeight="1" spans="1:13" x14ac:dyDescent="0.25">
      <c r="A104" s="33">
        <v>1</v>
      </c>
      <c r="B104" s="34" t="s">
        <v>332</v>
      </c>
      <c r="C104" s="35" t="s">
        <v>333</v>
      </c>
      <c r="D104" s="36" t="s">
        <v>334</v>
      </c>
      <c r="E104" s="35" t="s">
        <v>335</v>
      </c>
      <c r="F104" s="35" t="s">
        <v>336</v>
      </c>
      <c r="G104" s="33" t="s">
        <v>56</v>
      </c>
      <c r="H104" s="50" t="s">
        <v>76</v>
      </c>
      <c r="I104" s="38" t="s">
        <v>58</v>
      </c>
      <c r="J104" s="35" t="s">
        <v>328</v>
      </c>
      <c r="K104" s="48" t="s">
        <v>78</v>
      </c>
      <c r="L104" s="51" t="s">
        <v>337</v>
      </c>
      <c r="M104" s="35" t="s">
        <v>59</v>
      </c>
    </row>
    <row r="106" ht="28" customHeight="1" spans="1:13" x14ac:dyDescent="0.25">
      <c r="A106" s="30" t="s">
        <v>338</v>
      </c>
      <c r="B106" s="30"/>
      <c r="C106" s="30"/>
      <c r="D106" s="30"/>
      <c r="E106" s="30"/>
      <c r="F106" s="30"/>
      <c r="G106" s="30"/>
      <c r="H106" s="30"/>
      <c r="I106" s="30"/>
      <c r="J106" s="30"/>
      <c r="K106" s="30"/>
      <c r="L106" s="30"/>
      <c r="M106" s="31" t="str">
        <f>HYPERLINK("#'Test Cases'!A5","↑ Summary")</f>
        <v>↑ Summary</v>
      </c>
    </row>
    <row r="107" ht="18" customHeight="1" spans="1:13" x14ac:dyDescent="0.25">
      <c r="A107" s="32" t="s">
        <v>339</v>
      </c>
      <c r="B107" s="32"/>
      <c r="C107" s="32"/>
      <c r="D107" s="32"/>
      <c r="E107" s="32"/>
      <c r="F107" s="32"/>
      <c r="G107" s="32"/>
      <c r="H107" s="32"/>
      <c r="I107" s="32"/>
      <c r="J107" s="32"/>
      <c r="K107" s="32"/>
      <c r="L107" s="32"/>
      <c r="M107" s="32"/>
    </row>
    <row r="108" ht="30" customHeight="1" spans="1:13" x14ac:dyDescent="0.25">
      <c r="A108" s="10" t="s">
        <v>38</v>
      </c>
      <c r="B108" s="10" t="s">
        <v>39</v>
      </c>
      <c r="C108" s="10" t="s">
        <v>40</v>
      </c>
      <c r="D108" s="10" t="s">
        <v>41</v>
      </c>
      <c r="E108" s="10" t="s">
        <v>42</v>
      </c>
      <c r="F108" s="10" t="s">
        <v>43</v>
      </c>
      <c r="G108" s="10" t="s">
        <v>44</v>
      </c>
      <c r="H108" s="10" t="s">
        <v>45</v>
      </c>
      <c r="I108" s="10" t="s">
        <v>46</v>
      </c>
      <c r="J108" s="10" t="s">
        <v>47</v>
      </c>
      <c r="K108" s="10" t="s">
        <v>48</v>
      </c>
      <c r="L108" s="10" t="s">
        <v>49</v>
      </c>
      <c r="M108" s="10" t="s">
        <v>50</v>
      </c>
    </row>
    <row r="109" ht="96" customHeight="1" spans="1:13" x14ac:dyDescent="0.25">
      <c r="A109" s="33">
        <v>1</v>
      </c>
      <c r="B109" s="34" t="s">
        <v>340</v>
      </c>
      <c r="C109" s="35" t="s">
        <v>341</v>
      </c>
      <c r="D109" s="36" t="s">
        <v>342</v>
      </c>
      <c r="E109" s="35" t="s">
        <v>343</v>
      </c>
      <c r="F109" s="35" t="s">
        <v>344</v>
      </c>
      <c r="G109" s="33" t="s">
        <v>56</v>
      </c>
      <c r="H109" s="50" t="s">
        <v>76</v>
      </c>
      <c r="I109" s="38" t="s">
        <v>58</v>
      </c>
      <c r="J109" s="35" t="s">
        <v>328</v>
      </c>
      <c r="K109" s="48" t="s">
        <v>78</v>
      </c>
      <c r="L109" s="51" t="s">
        <v>345</v>
      </c>
      <c r="M109" s="35" t="s">
        <v>59</v>
      </c>
    </row>
    <row r="111" ht="28" customHeight="1" spans="1:13" x14ac:dyDescent="0.25">
      <c r="A111" s="30" t="s">
        <v>346</v>
      </c>
      <c r="B111" s="30"/>
      <c r="C111" s="30"/>
      <c r="D111" s="30"/>
      <c r="E111" s="30"/>
      <c r="F111" s="30"/>
      <c r="G111" s="30"/>
      <c r="H111" s="30"/>
      <c r="I111" s="30"/>
      <c r="J111" s="30"/>
      <c r="K111" s="30"/>
      <c r="L111" s="30"/>
      <c r="M111" s="31" t="str">
        <f>HYPERLINK("#'Test Cases'!A5","↑ Summary")</f>
        <v>↑ Summary</v>
      </c>
    </row>
    <row r="112" ht="18" customHeight="1" spans="1:13" x14ac:dyDescent="0.25">
      <c r="A112" s="32" t="s">
        <v>347</v>
      </c>
      <c r="B112" s="32"/>
      <c r="C112" s="32"/>
      <c r="D112" s="32"/>
      <c r="E112" s="32"/>
      <c r="F112" s="32"/>
      <c r="G112" s="32"/>
      <c r="H112" s="32"/>
      <c r="I112" s="32"/>
      <c r="J112" s="32"/>
      <c r="K112" s="32"/>
      <c r="L112" s="32"/>
      <c r="M112" s="32"/>
    </row>
    <row r="113" ht="30" customHeight="1" spans="1:13" x14ac:dyDescent="0.25">
      <c r="A113" s="10" t="s">
        <v>38</v>
      </c>
      <c r="B113" s="10" t="s">
        <v>39</v>
      </c>
      <c r="C113" s="10" t="s">
        <v>40</v>
      </c>
      <c r="D113" s="10" t="s">
        <v>41</v>
      </c>
      <c r="E113" s="10" t="s">
        <v>42</v>
      </c>
      <c r="F113" s="10" t="s">
        <v>43</v>
      </c>
      <c r="G113" s="10" t="s">
        <v>44</v>
      </c>
      <c r="H113" s="10" t="s">
        <v>45</v>
      </c>
      <c r="I113" s="10" t="s">
        <v>46</v>
      </c>
      <c r="J113" s="10" t="s">
        <v>47</v>
      </c>
      <c r="K113" s="10" t="s">
        <v>48</v>
      </c>
      <c r="L113" s="10" t="s">
        <v>49</v>
      </c>
      <c r="M113" s="10" t="s">
        <v>50</v>
      </c>
    </row>
    <row r="114" ht="81" customHeight="1" spans="1:13" x14ac:dyDescent="0.25">
      <c r="A114" s="33">
        <v>1</v>
      </c>
      <c r="B114" s="34" t="s">
        <v>348</v>
      </c>
      <c r="C114" s="35" t="s">
        <v>349</v>
      </c>
      <c r="D114" s="36" t="s">
        <v>350</v>
      </c>
      <c r="E114" s="35" t="s">
        <v>351</v>
      </c>
      <c r="F114" s="35" t="s">
        <v>352</v>
      </c>
      <c r="G114" s="33" t="s">
        <v>68</v>
      </c>
      <c r="H114" s="50" t="s">
        <v>76</v>
      </c>
      <c r="I114" s="41" t="s">
        <v>69</v>
      </c>
      <c r="J114" s="35" t="s">
        <v>59</v>
      </c>
      <c r="K114" s="39" t="s">
        <v>60</v>
      </c>
      <c r="L114" s="40" t="s">
        <v>59</v>
      </c>
      <c r="M114" s="35" t="s">
        <v>59</v>
      </c>
    </row>
    <row r="115" ht="96" customHeight="1" spans="1:13" x14ac:dyDescent="0.25">
      <c r="A115" s="42">
        <v>2</v>
      </c>
      <c r="B115" s="43" t="s">
        <v>353</v>
      </c>
      <c r="C115" s="44" t="s">
        <v>354</v>
      </c>
      <c r="D115" s="45" t="s">
        <v>355</v>
      </c>
      <c r="E115" s="44" t="s">
        <v>356</v>
      </c>
      <c r="F115" s="44" t="s">
        <v>357</v>
      </c>
      <c r="G115" s="42" t="s">
        <v>358</v>
      </c>
      <c r="H115" s="46" t="s">
        <v>76</v>
      </c>
      <c r="I115" s="52" t="s">
        <v>58</v>
      </c>
      <c r="J115" s="44" t="s">
        <v>59</v>
      </c>
      <c r="K115" s="39" t="s">
        <v>60</v>
      </c>
      <c r="L115" s="54" t="s">
        <v>59</v>
      </c>
      <c r="M115" s="44" t="s">
        <v>59</v>
      </c>
    </row>
    <row r="116" ht="126" customHeight="1" spans="1:13" x14ac:dyDescent="0.25">
      <c r="A116" s="33">
        <v>3</v>
      </c>
      <c r="B116" s="34" t="s">
        <v>359</v>
      </c>
      <c r="C116" s="35" t="s">
        <v>360</v>
      </c>
      <c r="D116" s="36" t="s">
        <v>361</v>
      </c>
      <c r="E116" s="35" t="s">
        <v>362</v>
      </c>
      <c r="F116" s="35" t="s">
        <v>363</v>
      </c>
      <c r="G116" s="33" t="s">
        <v>358</v>
      </c>
      <c r="H116" s="50" t="s">
        <v>76</v>
      </c>
      <c r="I116" s="53" t="s">
        <v>108</v>
      </c>
      <c r="J116" s="35" t="s">
        <v>59</v>
      </c>
      <c r="K116" s="39" t="s">
        <v>60</v>
      </c>
      <c r="L116" s="40" t="s">
        <v>59</v>
      </c>
      <c r="M116" s="35" t="s">
        <v>59</v>
      </c>
    </row>
  </sheetData>
  <mergeCells count="56">
    <mergeCell ref="A1:M1"/>
    <mergeCell ref="A2:M2"/>
    <mergeCell ref="A3:C3"/>
    <mergeCell ref="G3:I3"/>
    <mergeCell ref="K3:M3"/>
    <mergeCell ref="A5:M5"/>
    <mergeCell ref="B6:C6"/>
    <mergeCell ref="D6:E6"/>
    <mergeCell ref="B7:C7"/>
    <mergeCell ref="D7:E7"/>
    <mergeCell ref="B8:C8"/>
    <mergeCell ref="D8:E8"/>
    <mergeCell ref="B9:C9"/>
    <mergeCell ref="D9:E9"/>
    <mergeCell ref="B10:C10"/>
    <mergeCell ref="D10:E10"/>
    <mergeCell ref="B11:C11"/>
    <mergeCell ref="D11:E11"/>
    <mergeCell ref="B12:C12"/>
    <mergeCell ref="D12:E12"/>
    <mergeCell ref="B13:C13"/>
    <mergeCell ref="D13:E13"/>
    <mergeCell ref="B14:C14"/>
    <mergeCell ref="D14:E14"/>
    <mergeCell ref="B15:C15"/>
    <mergeCell ref="D15:E15"/>
    <mergeCell ref="B16:C16"/>
    <mergeCell ref="D16:E16"/>
    <mergeCell ref="B17:C17"/>
    <mergeCell ref="D17:E17"/>
    <mergeCell ref="B18:C18"/>
    <mergeCell ref="D18:E18"/>
    <mergeCell ref="A21:L21"/>
    <mergeCell ref="A22:M22"/>
    <mergeCell ref="A26:L26"/>
    <mergeCell ref="A27:M27"/>
    <mergeCell ref="A51:L51"/>
    <mergeCell ref="A52:M52"/>
    <mergeCell ref="A64:L64"/>
    <mergeCell ref="A65:M65"/>
    <mergeCell ref="A73:L73"/>
    <mergeCell ref="A74:M74"/>
    <mergeCell ref="A80:L80"/>
    <mergeCell ref="A81:M81"/>
    <mergeCell ref="A85:L85"/>
    <mergeCell ref="A86:M86"/>
    <mergeCell ref="A91:L91"/>
    <mergeCell ref="A92:M92"/>
    <mergeCell ref="A96:L96"/>
    <mergeCell ref="A97:M97"/>
    <mergeCell ref="A101:L101"/>
    <mergeCell ref="A102:M102"/>
    <mergeCell ref="A106:L106"/>
    <mergeCell ref="A107:M107"/>
    <mergeCell ref="A111:L111"/>
    <mergeCell ref="A112:M112"/>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2026-09-29T09:06:06Z</dcterms:created>
  <dcterms:modified xsi:type="dcterms:W3CDTF">2026-09-29T09:06:06Z</dcterms:modified>
</cp:coreProperties>
</file>