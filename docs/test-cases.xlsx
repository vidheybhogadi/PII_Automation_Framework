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<sst xmlns="http://schemas.openxmlformats.org/spreadsheetml/2006/main" count="1289" uniqueCount="549">
  <si>
    <t>Aisle PII API Automation — API Test Cases   (Aisle API → PII service → DB validation)</t>
  </si>
  <si>
    <t>Last run: 2026-09-30 08:37 UTC  ·  environment staging  ·  projects=api  ·  took 5s</t>
  </si>
  <si>
    <t>Total test cases: 55</t>
  </si>
  <si>
    <t>✔ Pass: 32</t>
  </si>
  <si>
    <t>✘ Fail: 0</t>
  </si>
  <si>
    <t>⚠ Security finding: 1</t>
  </si>
  <si>
    <t>⏸ Blocked: 22</t>
  </si>
  <si>
    <t>⊘ Not Applicable: 0</t>
  </si>
  <si>
    <t>— Not Tested / Skipped: 0</t>
  </si>
  <si>
    <t>Pass rate of tests run: 97%</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</si>
  <si>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</si>
  <si>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</si>
  <si>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</si>
  <si>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</si>
  <si>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</si>
  <si>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</si>
  <si>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</si>
  <si>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</si>
  <si>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</si>
  <si>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</si>
  <si>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</si>
  <si>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</si>
  <si>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</si>
  <si>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</si>
  <si>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</si>
  <si>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</si>
  <si>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92.9%</t>
  </si>
  <si>
    <t>POST /api/v1/pii-test/read</t>
  </si>
  <si>
    <t>POST /api/v1/pii-test/{field}/search</t>
  </si>
  <si>
    <t>POST /api/v1/pii-test/batch/read</t>
  </si>
  <si>
    <t>POST /api/v1/pii-test/transient/phones</t>
  </si>
  <si>
    <t>N/A</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</si>
  <si>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</si>
  <si>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</si>
  <si>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</si>
  <si>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</si>
  <si>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</si>
  <si>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</si>
  <si>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</si>
  <si>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</si>
  <si>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</si>
  <si>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</si>
  <si>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</si>
  <si>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</si>
  <si>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</si>
  <si>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</si>
  <si>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</si>
  <si>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</si>
  <si>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</si>
  <si>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</si>
  <si>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</si>
  <si>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</si>
  <si>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</si>
  <si>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</si>
  <si>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</si>
  <si>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</si>
  <si>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</si>
  <si>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</si>
  <si>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</si>
  <si>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</si>
  <si>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</si>
  <si>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</si>
  <si>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</si>
  <si>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</si>
  <si>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</si>
  <si>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</si>
  <si>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(question BQ-15).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</si>
  <si>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</si>
  <si>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</si>
  <si>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</si>
  <si>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</si>
  <si>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</si>
  <si>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</si>
  <si>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</si>
  <si>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22 test cases  ·  ✔ 13  ·  ✘ 0  ·  ⚠ 1 security finding  ·  ⏸ 8 blocked  ·  — 0</t>
  </si>
  <si>
    <t>What this endpoint does: Create or replace one PII field.</t>
  </si>
  <si>
    <t>AISLE-AUTH-001</t>
  </si>
  <si>
    <r>
      <rPr>
        <b/>
        <color rgb="FF0F172A"/>
      </rPr>
      <t>A save without a token is refused (401) and the saved name stays the same</t>
    </r>
    <r>
      <rPr>
        <color rgb="FF334155"/>
      </rPr>
      <t xml:space="preserve">
Saves a fake name with the token (the secret pass proving the caller is Aisle’s test app), then tries to change it with no Authorization header (the header that carries the token).</t>
    </r>
  </si>
  <si>
    <t>Authentication</t>
  </si>
  <si>
    <t>/api/v1/pii-test</t>
  </si>
  <si>
    <t>POST</t>
  </si>
  <si>
    <t>POST /api/v1/pii-test {"user_id":"&lt;fake user&gt;","field":"NAME","value":"QA Automation User A"} (with token) · POST /api/v1/pii-test {… "value":"QA Automation User B"} (no Authorization header)</t>
  </si>
  <si>
    <t xml:space="preserve">1. Save fake name A for a new fake user with the token
2. Send a save of fake name B with no Authorization header
3. Read the name with the token</t>
  </si>
  <si>
    <t>401 Unauthorized (refused: not signed in) with no data in the reply. Reading afterwards still returns name A.</t>
  </si>
  <si>
    <t xml:space="preserve">• Save without token → 401
• The 401 reply contains no data
• Reading afterwards still returns name A</t>
  </si>
  <si>
    <t>Without this check, anyone on the network could change users’ personal data.</t>
  </si>
  <si>
    <t>Security</t>
  </si>
  <si>
    <t>Critical</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</si>
  <si>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</si>
  <si>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</si>
  <si>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</si>
  <si>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</si>
  <si>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</si>
  <si>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</si>
  <si>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</si>
  <si>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</si>
  <si>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</si>
  <si>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Regression</t>
  </si>
  <si>
    <t>⏸ Blocked</t>
  </si>
  <si>
    <t>BQ-04: Read-only DB access and the PII table/column layout have not been provided yet</t>
  </si>
  <si>
    <t>BLOCKED — BQ-04: Read-only DB access and the PII table/column layout have not been provided yet</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</si>
  <si>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</si>
  <si>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</si>
  <si>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</si>
  <si>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</si>
  <si>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</si>
  <si>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</si>
  <si>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</si>
  <si>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AISLE-DB-003</t>
  </si>
  <si>
    <r>
      <rPr>
        <b/>
        <color rgb="FF0F172A"/>
      </rPr>
      <t>A save refused for a missing token (401) leaves nothing in the database</t>
    </r>
    <r>
      <rPr>
        <color rgb="FF334155"/>
      </rPr>
      <t xml:space="preserve">
Sends a save of a fake name for a new fake user with no token (the secret pass proving the caller is Aisle’s test app), then looks in the database for that user.</t>
    </r>
  </si>
  <si>
    <t>POST /api/v1/pii-test {"user_id":"&lt;new fake user&gt;","field":"NAME","value":"QA Automation User"} without Authorization header · database query for that user</t>
  </si>
  <si>
    <t xml:space="preserve">1. Send a save with no token
2. Check it is refused with 401
3. Look up that user in the database</t>
  </si>
  <si>
    <t>401 Unauthorized (refused: not signed in), and no record exists for that user.</t>
  </si>
  <si>
    <t xml:space="preserve">• The save gets 401 with no data
• No stored record exists for that user</t>
  </si>
  <si>
    <t>A refused request must leave nothing behind.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</si>
  <si>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</si>
  <si>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</si>
  <si>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</si>
  <si>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</si>
  <si>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</si>
  <si>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</si>
  <si>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</si>
  <si>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</si>
  <si>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</si>
  <si>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 formatted approved test phone is saved as digits only</t>
    </r>
    <r>
      <rPr>
        <color rgb="FF334155"/>
      </rPr>
      <t xml:space="preserve">
Saves an approved test phone number (a number Dev confirmed is nobody’s real phone) written with spaces, dashes and brackets, then reads it back.</t>
    </r>
  </si>
  <si>
    <t>Blocked: no approved test phone numbers yet, and PHONE access and the phone clean-up rule are not confirmed (question BQ-03).</t>
  </si>
  <si>
    <t>POST /api/v1/pii-test {"user_id":"&lt;new fake user&gt;","field":"PHONE","value":"&lt;approved test phone with spaces, dashes, brackets&gt;"} · POST /api/v1/pii-test/read {"user_id":"&lt;same user&gt;","field_names":["PHONE"]}</t>
  </si>
  <si>
    <t xml:space="preserve">1. Take an approved test phone from the settings
2. Save it with formatting for a new fake user
3. Read the PHONE field back</t>
  </si>
  <si>
    <t>200 OK. The value is digits only.</t>
  </si>
  <si>
    <t xml:space="preserve">• Save succeeds
• Read status is 200
• The value contains digits only</t>
  </si>
  <si>
    <t>Phones typed in different formats must match the same stored number.</t>
  </si>
  <si>
    <t>BQ-03: No approved test phones; PHONE access and phone clean-up rules are not confirmed | BLOCKED (BQ-03): No approved test phones; PHONE access and phone clean-up rules are not confirmed</t>
  </si>
  <si>
    <t>BLOCKED — BQ-03: No approved test phones; PHONE access and phone clean-up rules are not confirmed</t>
  </si>
  <si>
    <t>AISLE-NRM-003</t>
  </si>
  <si>
    <r>
      <rPr>
        <b/>
        <color rgb="FF0F172A"/>
      </rPr>
      <t>A phone that is too short or too long after clean-up is rejected</t>
    </r>
    <r>
      <rPr>
        <color rgb="FF334155"/>
      </rPr>
      <t xml:space="preserve">
Tries to save a 5-digit and a 16-digit value as a phone. Neither can be a real phone number (real international numbers have at most 15 digits).</t>
    </r>
  </si>
  <si>
    <t>Blocked: PHONE access and the phone length rule are not confirmed for the facade (question BQ-03).</t>
  </si>
  <si>
    <t>POST /api/v1/pii-test {"user_id":"&lt;new fake user&gt;","field":"PHONE","value":"12345"} · {… "value":"&lt;16 digits&gt;"}</t>
  </si>
  <si>
    <t xml:space="preserve">1. Save a 5-digit phone for a new fake user
2. Save a 16-digit phone
3. Check both replies</t>
  </si>
  <si>
    <t>Both are refused and nothing is saved. The exact status is waiting on Dev (question BQ-03).</t>
  </si>
  <si>
    <t xml:space="preserve">• Both saves are refused
• Nothing is saved for the user</t>
  </si>
  <si>
    <t>Invalid phones would make texts and calls fail.</t>
  </si>
  <si>
    <t>Negative</t>
  </si>
  <si>
    <t>Medium</t>
  </si>
  <si>
    <t>BQ-03: PHONE access and the phone length rule are not confirmed for the facade | BLOCKED (BQ-03): PHONE access and the phone length rule are not confirmed for the facade</t>
  </si>
  <si>
    <t>BLOCKED — BQ-03: PHONE access and the phone length rule are not confirmed for the facade</t>
  </si>
  <si>
    <t>AISLE-SEC-001</t>
  </si>
  <si>
    <r>
      <rPr>
        <b/>
        <color rgb="FF0F172A"/>
      </rPr>
      <t>A tenant ID sent by the caller is ignored or refused: data can never land in another tenant</t>
    </r>
    <r>
      <rPr>
        <color rgb="FF334155"/>
      </rPr>
      <t xml:space="preserve">
Saves a fake name while also sending a made-up tenant (customer account) in the request, then reads it back with and without that made-up tenant.</t>
    </r>
  </si>
  <si>
    <t>Response Security</t>
  </si>
  <si>
    <t>POST /api/v1/pii-test {"user_id":"&lt;new fake user&gt;","field":"NAME","value":"QA Automation User","tenant_id":"qa-auto-fake-tenant"} · POST /api/v1/pii-test/read {… "tenant_id":"qa-auto-fake-tenant"} · POST /api/v1/pii-test/read {"user_id":"&lt;same user&gt;","field_names":["NAME"]}</t>
  </si>
  <si>
    <t xml:space="preserve">1. Send a save of a fake name with an extra made-up tenant
2. Check the reply
3. Read the name with the made-up tenant added
4. Read the name normally</t>
  </si>
  <si>
    <t>Either the save is refused and nothing is saved, or (as seen on staging) it succeeds and every reply shows tenant “aisle”, never the made-up tenant. The normal read returns the fake name under “aisle”. Ignoring versus refusing is Dev’s call (question BQ-06).</t>
  </si>
  <si>
    <t xml:space="preserve">• Either the save is refused and nothing is saved, or it succeeds
• Save reply tenant is “aisle”
• Read replies and items show tenant “aisle”, never the made-up tenant
• The normal read returns the fake name</t>
  </si>
  <si>
    <t>If a caller could choose the tenant, Aisle could write into or read another customer’s data.</t>
  </si>
  <si>
    <t>AISLE-SEC-002</t>
  </si>
  <si>
    <r>
      <rPr>
        <b/>
        <color rgb="FF0F172A"/>
      </rPr>
      <t>Error replies do not repeat the personal value that was sent, or internal details</t>
    </r>
    <r>
      <rPr>
        <color rgb="FF334155"/>
      </rPr>
      <t xml:space="preserve">
Sends a save with the user ID left out, so it fails the format check while it contains a unique fake name, then searches the error reply for that name.</t>
    </r>
  </si>
  <si>
    <t>POST /api/v1/pii-test {"field":"NAME","value":"QA Automation User &lt;unique letters&gt;"} (user ID left out)</t>
  </si>
  <si>
    <t xml:space="preserve">1. Send a save of a fake name with the user ID left out
2. Check the reply is 422 (refused: the request format is invalid)
3. Search the reply for the fake name and for the internal tenant field</t>
  </si>
  <si>
    <t>The reply is 422 and contains neither the fake name nor the internal “tenant_id” field. KNOWN SECURITY FINDING: today the reply repeats both, so this test fails until Dev fixes it (question BQ-08).</t>
  </si>
  <si>
    <t xml:space="preserve">• Status is 422 naming user_id
• The reply does not contain the fake name
• The reply does not contain “tenant_id”</t>
  </si>
  <si>
    <t>Error replies end up in logs and monitoring tools. They must not spread personal data or internal details.</t>
  </si>
  <si>
    <t>⚠ Security finding</t>
  </si>
  <si>
    <t>BQ-08: 422 replies echo the submitted value and the internal tenant_id in detail[].input</t>
  </si>
  <si>
    <t>SECURITY FINDING (expected until Dev fixes it) — BQ-08: 422 replies echo the submitted value and the internal tenant_id in detail[].input</t>
  </si>
  <si>
    <t>AISLE-SEC-003</t>
  </si>
  <si>
    <r>
      <rPr>
        <b/>
        <color rgb="FF0F172A"/>
      </rPr>
      <t>Test logs and report files contain no token and no personal data</t>
    </r>
    <r>
      <rPr>
        <color rgb="FF334155"/>
      </rPr>
      <t xml:space="preserve">
Saves and reads a fake name, sends one request that is refused, then scans our own test log and report notes for the token (the secret pass proving the caller is Aisle’s test app) and the fake name.</t>
    </r>
  </si>
  <si>
    <t>POST /api/v1/pii-test (fake name) · POST /api/v1/pii-test/read (same user) · POST /api/v1/pii-test without Authorization header</t>
  </si>
  <si>
    <t xml:space="preserve">1. Save and read a fake name
2. Send one save without a token (it is refused with 401)
3. Scan the test log and report notes for the token and the fake name</t>
  </si>
  <si>
    <t>Neither the token nor the fake name is found anywhere. Request IDs (tracking numbers for each call) are still visible, so problems can be traced.</t>
  </si>
  <si>
    <t xml:space="preserve">• The calls were logged, with request IDs
• Neither the token nor the fake name is in the test log
• Neither is in the report notes or attachments</t>
  </si>
  <si>
    <t>QA reports are shared widely. A leaked token or personal value in them would be a security incident.</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</si>
  <si>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</si>
  <si>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</si>
  <si>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</si>
  <si>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</si>
  <si>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</si>
  <si>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with the message “PII write successful”. The reply shows tenant “aisle” (the customer account the data belongs to), the same user ID, field NAME and a key version (the number of the encryption key used) of 1 or more. The name itself is not repeated in the reply.</t>
  </si>
  <si>
    <t xml:space="preserve">• Status is 201 and the message is “PII write successful”
• Reply data has tenant “aisle”,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</si>
  <si>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</si>
  <si>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</si>
  <si>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</si>
  <si>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</si>
  <si>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</si>
  <si>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with “PII write successful” and tenant “aisle”. The second read and the bulk read both return name B, never name A.</t>
  </si>
  <si>
    <t xml:space="preserve">• First read returns name A
• Replace returns 200 with “PII write successful” and tenant “aisle”
• Second read returns name B
• Bulk read returns exactly one item for that user with name B</t>
  </si>
  <si>
    <t>If the old value survived an update, users would see outdated or wrong personal details.</t>
  </si>
  <si>
    <t>AISLE-WR-003</t>
  </si>
  <si>
    <r>
      <rPr>
        <b/>
        <color rgb="FF0F172A"/>
      </rPr>
      <t>Save requests with a missing or wrong-typed field are rejected (422) and the saved name stays the same</t>
    </r>
    <r>
      <rPr>
        <color rgb="FF334155"/>
      </rPr>
      <t xml:space="preserve">
Saves a fake name, then sends five broken save requests: no value, no user ID, no field name, a number as the value, and a number as the user ID.</t>
    </r>
  </si>
  <si>
    <t>POST /api/v1/pii-test {"user_id":"&lt;fake user&gt;","field":"NAME"} · {"field":"NAME","value":"QA Automation User"} · {"user_id":"&lt;fake user&gt;","value":"QA Automation User"} · {"user_id":"&lt;fake user&gt;","field":"NAME","value":12345} · {"user_id":12345,"field":"NAME","value":"QA Automation User"}</t>
  </si>
  <si>
    <t xml:space="preserve">1. Save a fake name for a new fake user
2. Send the three saves that each leave out one required part
3. Send the two saves that use a number where text is expected
4. Read the name back</t>
  </si>
  <si>
    <t>Each broken request gets 422 (refused: the request format is invalid) with a list naming the wrong part. Reading afterwards still returns the original fake name.</t>
  </si>
  <si>
    <t xml:space="preserve">• Missing value → 422 naming value
• Missing user ID → 422 naming user_id
• Missing field → 422 naming field
• Number as value → 422 naming value;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</si>
  <si>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</si>
  <si>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</si>
  <si>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</si>
  <si>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</si>
  <si>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</si>
  <si>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to be confirmed by Dev (question BQ-05).</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</si>
  <si>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</si>
  <si>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</si>
  <si>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</si>
  <si>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</si>
  <si>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</si>
  <si>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</si>
  <si>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to be confirmed by Dev (question BQ-05).</t>
  </si>
  <si>
    <t xml:space="preserve">• The generated user ID is exactly 128 characters and the name exactly 1,024
• Save status is 201 with “PII write successful”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</si>
  <si>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</si>
  <si>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</si>
  <si>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</si>
  <si>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</si>
  <si>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</si>
  <si>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to be confirmed by Dev (question BQ-05).</t>
  </si>
  <si>
    <t xml:space="preserve">• 129-character user ID → 422 naming user_id
• 1,025-character name → 422 naming value
• The first user’s saved name is unchanged</t>
  </si>
  <si>
    <t>Over-long data could break storage or other systems that read it.</t>
  </si>
  <si>
    <t>AISLE-WR-007</t>
  </si>
  <si>
    <r>
      <rPr>
        <b/>
        <color rgb="FF0F172A"/>
      </rPr>
      <t>A request body that is not valid JSON is rejected (400 “Invalid JSON”)</t>
    </r>
    <r>
      <rPr>
        <color rgb="FF334155"/>
      </rPr>
      <t xml:space="preserve">
Saves a fake name, then sends a save request whose body is broken JSON (the text format the service expects), with the closing bracket missing.</t>
    </r>
  </si>
  <si>
    <t>POST /api/v1/pii-test body: {"user_id": "&lt;fake user&gt;", "field": "NAME", "value":   (cut off, not valid JSON)</t>
  </si>
  <si>
    <t xml:space="preserve">1. Save a fake name for a new fake user
2. Send a save with a broken body
3. Read the name back</t>
  </si>
  <si>
    <t>400 Bad Request (refused: the body could not be read) with status false, error “Invalid JSON” and message “Request body must be valid JSON”. The name is unchanged.</t>
  </si>
  <si>
    <t xml:space="preserve">• Status is 400
• Body has status false, error “Invalid JSON” and message “Request body must be valid JSON”
• The saved name is unchanged afterwards</t>
  </si>
  <si>
    <t>Broken input must be refused cleanly, never half-processed.</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</si>
  <si>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</si>
  <si>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</si>
  <si>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</si>
  <si>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</si>
  <si>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Whether this should be a validation error instead is Dev’s call (questions BQ-12 and BQ-27).</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</si>
  <si>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</si>
  <si>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</si>
  <si>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</si>
  <si>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</si>
  <si>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Blocked until Dev gives the Aisle caller access to EMAIL (question BQ-01). Today it returns 403 (access denied) because access is checked before the value (question BQ-14).</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</si>
  <si>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</si>
  <si>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</si>
  <si>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or 422: the value breaks a rule; Dev to confirm which, question BQ-01). Reading EMAIL returns 404 (not found): nothing was saved.</t>
  </si>
  <si>
    <t xml:space="preserve">• Save status is 400 or 422
• Reading EMAIL afterwards returns 404 PII_NOT_FOUND</t>
  </si>
  <si>
    <t>Broken emails would make password resets and notifications fail without anyone noticing.</t>
  </si>
  <si>
    <t>BQ-01: EMAIL access not granted to the Aisle caller (permission is checked first, BQ-14) — observed POST /api/v1/pii-test -&gt; HTTP 403 code=AUTHORIZATION_DENIED (requestId=b12648a9-7430-47af-ab24-7b01805de031, 93ms)</t>
  </si>
  <si>
    <t>BLOCKED — BQ-01: EMAIL access not granted to the Aisle caller (permission is checked first, BQ-14) — observed POST /api/v1/pii-test -&gt; HTTP 403 code=AUTHORIZATION_DENIED (requestId=b12648a9-7430-47af-ab24-7b01805de031, 93ms)</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</si>
  <si>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</si>
  <si>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</si>
  <si>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Blocked until Dev gives the Aisle caller access to EMAIL (question BQ-01). Today EMAIL calls return 403 (refused: access denied), and the report shows that real reply.</t>
  </si>
  <si>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</si>
  <si>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</si>
  <si>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with “PII read successful”. Exactly one item for that user, tenant “aisle” and field EMAIL. The value is the fake email in lower case with the outer spaces removed. This clean-up rule still has to be confirmed by Dev (question BQ-01).</t>
  </si>
  <si>
    <t xml:space="preserve">• Save and read are not refused (today they are: 403, so the test is blocked)
• Read status is 200 with “PII read successful” and count 1
• The item has tenant “aisle”, the same user ID and field EMAIL
• The value is the fake email in lower case with outer spaces removed</t>
  </si>
  <si>
    <t>Aisle compares and shows emails. If they are not cleaned up the same way every time, logins and look-ups can fail.</t>
  </si>
  <si>
    <t>BQ-01: EMAIL access not granted to the Aisle caller — observed POST /api/v1/pii-test -&gt; HTTP 403 code=AUTHORIZATION_DENIED (requestId=dd4ee452-ac42-4bde-ad25-162e0c485df5, 113ms)</t>
  </si>
  <si>
    <t>BLOCKED — BQ-01: EMAIL access not granted to the Aisle caller — observed POST /api/v1/pii-test -&gt; HTTP 403 code=AUTHORIZATION_DENIED (requestId=dd4ee452-ac42-4bde-ad25-162e0c485df5, 113ms)</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</si>
  <si>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</si>
  <si>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</si>
  <si>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</si>
  <si>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</si>
  <si>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with the message “PII write successful”. The reply names tenant “aisle” (the customer account the data belongs to), the same user ID, the field NAME and a key version (the number of the encryption key used) of 1 or more. The name itself is not repeated in the reply.</t>
  </si>
  <si>
    <t xml:space="preserve">• Status is 201 and the message is “PII write successful”
• Reply data has tenant “aisle”,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</si>
  <si>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</si>
  <si>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</si>
  <si>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</si>
  <si>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</si>
  <si>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</si>
  <si>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</si>
  <si>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</si>
  <si>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</si>
  <si>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</si>
  <si>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7  ·  ✘ 0  ·  ⏸ 3 blocked  ·  — 0</t>
  </si>
  <si>
    <t>What this endpoint does: Read selected PII fields for one user.</t>
  </si>
  <si>
    <t>AISLE-AUTH-002</t>
  </si>
  <si>
    <r>
      <rPr>
        <b/>
        <color rgb="FF0F172A"/>
      </rPr>
      <t>A wrong token is refused (401) and no data is returned</t>
    </r>
    <r>
      <rPr>
        <color rgb="FF334155"/>
      </rPr>
      <t xml:space="preserve">
Saves a fake name, then tries to read it using a made-up token (the secret pass that proves who is calling).</t>
    </r>
  </si>
  <si>
    <t>/api/v1/pii-test/read</t>
  </si>
  <si>
    <t>POST /api/v1/pii-test/read {"user_id":"&lt;fake user&gt;","field_names":["NAME"]} with Authorization: Bearer qa-auto-not-a-real-token</t>
  </si>
  <si>
    <t xml:space="preserve">1. Save a fake name for a new fake user with the real token
2. Read it with a made-up token
3. Check the reply</t>
  </si>
  <si>
    <t>401 Unauthorized (refused: not signed in). The reply contains no data and does not contain the name.</t>
  </si>
  <si>
    <t xml:space="preserve">• Status is 401
• The reply contains no data
• The fake name is not in the reply</t>
  </si>
  <si>
    <t>A guessed or old token must never give access to personal data.</t>
  </si>
  <si>
    <t>AISLE-AUTH-003</t>
  </si>
  <si>
    <r>
      <rPr>
        <b/>
        <color rgb="FF0F172A"/>
      </rPr>
      <t>A badly formed Authorization header is refused (401)</t>
    </r>
    <r>
      <rPr>
        <color rgb="FF334155"/>
      </rPr>
      <t xml:space="preserve">
Sends read requests with three badly formed Authorization headers (the header that carries the token): “Token abc”, the word “Bearer” with nothing after it, and a “Basic” user-and-password header with made-up details.</t>
    </r>
  </si>
  <si>
    <t>POST /api/v1/pii-test/read {"user_id":"&lt;fake user&gt;","field_names":["NAME"]} with Authorization: “Token abc” · “Bearer ” (empty) · “Basic Zm9vOmJhcg==”</t>
  </si>
  <si>
    <t xml:space="preserve">1. Send the three reads with the badly formed headers
2. Check each reply</t>
  </si>
  <si>
    <t>All three get 401 Unauthorized (refused: not signed in) with no data. Not covered here: the facade also accepts the real token without the word “Bearer” or with lower-case “bearer”; whether that is intended is waiting on Dev (question BQ-17).</t>
  </si>
  <si>
    <t xml:space="preserve">• Each of the three headers → 401
• No reply contains data</t>
  </si>
  <si>
    <t>Careless checking of this header is a common way to get around sign-in.</t>
  </si>
  <si>
    <t>AISLE-AUTH-005</t>
  </si>
  <si>
    <r>
      <rPr>
        <b/>
        <color rgb="FF0F172A"/>
      </rPr>
      <t>An expired token is refused (401)</t>
    </r>
    <r>
      <rPr>
        <color rgb="FF334155"/>
      </rPr>
      <t xml:space="preserve">
Tries to read a fake user’s name with a token (the secret pass that proves who is calling) that has already expired.</t>
    </r>
  </si>
  <si>
    <t>Blocked until Dev provides an expired test token (question BQ-11).</t>
  </si>
  <si>
    <t>POST /api/v1/pii-test/read {"user_id":"&lt;fake user&gt;","field_names":["NAME"]} with Authorization: Bearer &lt;expired test token&gt;</t>
  </si>
  <si>
    <t xml:space="preserve">1. Send a read request with the expired test token
2. Check the reply</t>
  </si>
  <si>
    <t>401 Unauthorized (refused: not signed in) with no data.</t>
  </si>
  <si>
    <t xml:space="preserve">• Status is 401
• The reply contains no data</t>
  </si>
  <si>
    <t>Old tokens found in logs or on lost devices must stop working.</t>
  </si>
  <si>
    <t>BQ-11: No expired test token configured</t>
  </si>
  <si>
    <t>BLOCKED — BQ-11: No expired test token configured</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</si>
  <si>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</si>
  <si>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</si>
  <si>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</si>
  <si>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</si>
  <si>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</si>
  <si>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with the message “PII read successful”. Count is 1. The single item has tenant “aisle” (the customer account the data belongs to), that user ID, field NAME and exactly the saved name.</t>
  </si>
  <si>
    <t xml:space="preserve">• Status is 200 and the message is “PII read successful”
• Reply data has tenant “aisle”,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</si>
  <si>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</si>
  <si>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</si>
  <si>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</si>
  <si>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Blocked until Dev gives the Aisle caller access to EMAIL (question BQ-01). Today this read returns 403 (refused: access denied).</t>
  </si>
  <si>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</si>
  <si>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</si>
  <si>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Dev still has to confirm that missing fields are simply left out (question BQ-01).</t>
  </si>
  <si>
    <t xml:space="preserve">• Status is 200 and count is 1
• Only a NAME item is returned
• The NAME value equals the saved fake name</t>
  </si>
  <si>
    <t>Screens often ask for several fields at once. A field that is missing must not hide the ones that exist.</t>
  </si>
  <si>
    <t>BQ-01: EMAIL access not granted to the Aisle caller — observed POST /api/v1/pii-test/read -&gt; HTTP 403 code=AUTHORIZATION_DENIED (requestId=53a68365-563a-45b3-82af-57ed4f86fff9, 103ms)</t>
  </si>
  <si>
    <t>BLOCKED — BQ-01: EMAIL access not granted to the Aisle caller — observed POST /api/v1/pii-test/read -&gt; HTTP 403 code=AUTHORIZATION_DENIED (requestId=53a68365-563a-45b3-82af-57ed4f86fff9, 103ms)</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</si>
  <si>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</si>
  <si>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</si>
  <si>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</si>
  <si>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</si>
  <si>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</si>
  <si>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</si>
  <si>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</si>
  <si>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</si>
  <si>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or missing field list, or without a user ID, is rejected (422)</t>
    </r>
    <r>
      <rPr>
        <color rgb="FF334155"/>
      </rPr>
      <t xml:space="preserve">
Sends three broken read requests: one with an empty list of fields, one with no field list at all, and one with no user ID.</t>
    </r>
  </si>
  <si>
    <t>POST /api/v1/pii-test/read {"user_id":"&lt;fake user&gt;","field_names":[]} · POST /api/v1/pii-test/read {"user_id":"&lt;fake user&gt;"} · POST /api/v1/pii-test/read {"field_names":["NAME"]}</t>
  </si>
  <si>
    <t xml:space="preserve">1. Send a read with an empty field list
2. Send a read with no field list
3. Send a read with no user ID</t>
  </si>
  <si>
    <t>All three get 422 (refused: the request format is invalid), naming the field list or the user ID. No values are returned. The minimum of one field was observed from the service’s own validation message; to be confirmed by Dev (question BQ-05).</t>
  </si>
  <si>
    <t xml:space="preserve">• Empty field list → 422 naming field_names
• Missing field list → 422 naming field_names
• Missing user ID → 422 naming user_id</t>
  </si>
  <si>
    <t>Broken requests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</si>
  <si>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</si>
  <si>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</si>
  <si>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</si>
  <si>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</si>
  <si>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 Whether this should be a validation error instead is Dev’s call (questions BQ-12 and BQ-27).</t>
  </si>
  <si>
    <t>Only agreed personal fields may be read. The service must refuse anything else.</t>
  </si>
  <si>
    <t>AISLE-SEC-004</t>
  </si>
  <si>
    <r>
      <rPr>
        <b/>
        <color rgb="FF0F172A"/>
      </rPr>
      <t>The test token cannot read another user’s data</t>
    </r>
    <r>
      <rPr>
        <color rgb="FF334155"/>
      </rPr>
      <t xml:space="preserve">
Tries to read the NAME of the configured “other” test user (a synthetic account, not a real person) with our test token (the secret pass that proves who is calling).</t>
    </r>
  </si>
  <si>
    <t>Blocked: today any made-up user ID can be read and written with the same token. Whether that is intended is Dev’s decision (question BQ-07).</t>
  </si>
  <si>
    <t>POST /api/v1/pii-test/read {"user_id":"&lt;configured other test user&gt;","field_names":["NAME"]}</t>
  </si>
  <si>
    <t xml:space="preserve">1. Send a read for the other test user’s NAME
2. Check the reply</t>
  </si>
  <si>
    <t>Refused and no data returned. The exact status is waiting on Dev (question BQ-07).</t>
  </si>
  <si>
    <t xml:space="preserve">• The read is refused
• No data is returned</t>
  </si>
  <si>
    <t>If any token can read any user, one leaked token exposes everyone.</t>
  </si>
  <si>
    <t>BQ-07: Whether one token may read any user ID is Dev’s decision (today it can) | BLOCKED (BQ-07): Whether one token may read any user ID is Dev’s decision (today it can)</t>
  </si>
  <si>
    <t>BLOCKED — BQ-07: Whether one token may read any user ID is Dev’s decision (today it can)</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</si>
  <si>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</si>
  <si>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</si>
  <si>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</si>
  <si>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with the message “PII read successful”. Exactly one item (count 1) for that user, tenant “aisle” (the customer account the data belongs to) and field NAME. The value has the outer spaces removed and each run of inner spaces turned into one space, as seen on staging.</t>
  </si>
  <si>
    <t xml:space="preserve">• Read status is 200 and the message is “PII read successful”
• Count is 1
• The item has tenant “aisle”,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</si>
  <si>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</si>
  <si>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5 test cases  ·  ✔ 1  ·  ✘ 0  ·  ⏸ 4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</si>
  <si>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</si>
  <si>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</si>
  <si>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</si>
  <si>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</si>
  <si>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</si>
  <si>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Blocked until Dev gives the Aisle caller EMAIL and search access (question BQ-01). Today search returns 403 (refused: access denied),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</si>
  <si>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</si>
  <si>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</si>
  <si>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The reply format and the case/space rule still need Dev’s confirmation (question BQ-01).</t>
  </si>
  <si>
    <t xml:space="preserve">• Search status is 200
• The fake user ID is among the matches
• No match contains a value (user IDs only)</t>
  </si>
  <si>
    <t>Aisle looks users up by email. Search must ignore case and spacing, and must not hand out emails nobody asked for.</t>
  </si>
  <si>
    <t>BQ-01: EMAIL access not granted to the Aisle caller — observed POST /api/v1/pii-test -&gt; HTTP 403 code=AUTHORIZATION_DENIED (requestId=71de9a6e-01f5-4107-9c5c-9b2364e990a7, 88ms)</t>
  </si>
  <si>
    <t>BLOCKED — BQ-01: EMAIL access not granted to the Aisle caller — observed POST /api/v1/pii-test -&gt; HTTP 403 code=AUTHORIZATION_DENIED (requestId=71de9a6e-01f5-4107-9c5c-9b2364e990a7, 88ms)</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</si>
  <si>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</si>
  <si>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</si>
  <si>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</si>
  <si>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</si>
  <si>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Reply format to be confirmed by Dev (question BQ-01).</t>
  </si>
  <si>
    <t xml:space="preserve">• Search status is 200
• The fake user is among the matches
• Its value equals the fake email in lower case, trimmed</t>
  </si>
  <si>
    <t>Callers that are allowed to see values must get the clean stored form.</t>
  </si>
  <si>
    <t>BQ-01: EMAIL access not granted to the Aisle caller — observed POST /api/v1/pii-test -&gt; HTTP 403 code=AUTHORIZATION_DENIED (requestId=0b8d3146-c7f4-4ad3-8be3-2bee2a30f0c4, 90ms)</t>
  </si>
  <si>
    <t>BLOCKED — BQ-01: EMAIL access not granted to the Aisle caller — observed POST /api/v1/pii-test -&gt; HTTP 403 code=AUTHORIZATION_DENIED (requestId=0b8d3146-c7f4-4ad3-8be3-2bee2a30f0c4, 90ms)</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</si>
  <si>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</si>
  <si>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</si>
  <si>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</si>
  <si>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</si>
  <si>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The meaning of “truncated” still needs Dev’s confirmation (question BQ-01).</t>
  </si>
  <si>
    <t xml:space="preserve">• Search status is 200
• Exactly 1 match
• “truncated” is true</t>
  </si>
  <si>
    <t>The limit keeps results small and safe. The caller must be told that more matches exist.</t>
  </si>
  <si>
    <t>BQ-01: EMAIL access not granted to the Aisle caller — observed POST /api/v1/pii-test -&gt; HTTP 403 code=AUTHORIZATION_DENIED (requestId=4d618888-1803-44aa-8fcb-2656fb3a09f0, 89ms)</t>
  </si>
  <si>
    <t>BLOCKED — BQ-01: EMAIL access not granted to the Aisle caller — observed POST /api/v1/pii-test -&gt; HTTP 403 code=AUTHORIZATION_DENIED (requestId=4d618888-1803-44aa-8fcb-2656fb3a09f0, 89ms)</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</si>
  <si>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</si>
  <si>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</si>
  <si>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</si>
  <si>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</si>
  <si>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This runs today: the format check happens before the access check (question BQ-14). Range seen on staging; Dev to confirm (question BQ-05).</t>
  </si>
  <si>
    <t xml:space="preserve">• Limit 0 → 422 naming limit
• Limit 101 → 422 naming limit</t>
  </si>
  <si>
    <t>Unlimited searches could be used to pull out large amounts of personal data.</t>
  </si>
  <si>
    <t>AISLE-SR-005</t>
  </si>
  <si>
    <r>
      <rPr>
        <b/>
        <color rgb="FF0F172A"/>
      </rPr>
      <t>Searching an email nobody has returns an empty result</t>
    </r>
    <r>
      <rPr>
        <color rgb="FF334155"/>
      </rPr>
      <t xml:space="preserve">
Searches for a fake email that was never saved.</t>
    </r>
  </si>
  <si>
    <t>Blocked until Dev gives the Aisle caller EMAIL and search access (question BQ-01). Today search returns 403 (refused: access denied), and the report shows that real reply. After access is granted it stays blocked until Dev answers question BQ-13.</t>
  </si>
  <si>
    <t>POST /api/v1/pii-test/EMAIL/search {"value":"&lt;never-saved fake email&gt;","limit":10,"include_values":false}</t>
  </si>
  <si>
    <t xml:space="preserve">1. Make a fake email that was never saved
2. Search for it
3. Check the reply</t>
  </si>
  <si>
    <t>An empty result. Whether that is 200 OK with a count of 0 or 404 (not found) is waiting on Dev (question BQ-13).</t>
  </si>
  <si>
    <t xml:space="preserve">• Search is not refused for access (today it is: 403, test blocked)
• Then blocked until Dev defines the no-match reply (BQ-13)</t>
  </si>
  <si>
    <t>The app must handle “no match” without errors and without other people’s data.</t>
  </si>
  <si>
    <t>BQ-01: EMAIL search access not granted to the Aisle caller — observed POST /api/v1/pii-test/EMAIL/search -&gt; HTTP 403 code=AUTHORIZATION_DENIED (requestId=ffab37e6-2d86-4ef6-8d38-e80039f845ce, 83ms)</t>
  </si>
  <si>
    <t>BLOCKED — BQ-01: EMAIL search access not granted to the Aisle caller — observed POST /api/v1/pii-test/EMAIL/search -&gt; HTTP 403 code=AUTHORIZATION_DENIED (requestId=ffab37e6-2d86-4ef6-8d38-e80039f845ce, 83ms)</t>
  </si>
  <si>
    <t>5.  Bulk read PII     POST /api/v1/pii-test/batch/read        6 test cases  ·  ✔ 6  ·  ✘ 0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</si>
  <si>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</si>
  <si>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</si>
  <si>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</si>
  <si>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</si>
  <si>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</si>
  <si>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</si>
  <si>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</si>
  <si>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with “PII batch read successful” and tenant “aisle” (the customer account the data belongs to). The first has count 1 with user A’s name. The second has count 2, and each user’s item carries exactly that user’s name.</t>
  </si>
  <si>
    <t xml:space="preserve">• Both bulk reads: status 200 with “PII batch read successful”
• User A alone: count 1, item for user A with user A’s name
• Both users: count 2, one item per user
• Every item has tenant “aisle”,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</si>
  <si>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</si>
  <si>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</si>
  <si>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</si>
  <si>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</si>
  <si>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</si>
  <si>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</si>
  <si>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</si>
  <si>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</si>
  <si>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</si>
  <si>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</si>
  <si>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</si>
  <si>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</si>
  <si>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to be confirmed by Dev (question BQ-05).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</si>
  <si>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</si>
  <si>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</si>
  <si>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</si>
  <si>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</si>
  <si>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</si>
  <si>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</si>
  <si>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waiting on Dev (question BQ-19), so the count is only recorded, not checked.</t>
  </si>
  <si>
    <t xml:space="preserve">• Status is 200 with “PII batch read successful”
• At least one item is returned
• Every item has tenant “aisle”, that user ID, field NAME and the saved name
• The returned count is recorded in the report (not checked)</t>
  </si>
  <si>
    <t>Apps may send duplicates by mistake. The reply must still contain only that user’s own data.</t>
  </si>
  <si>
    <t>Low</t>
  </si>
  <si>
    <t>AISLE-BR-005</t>
  </si>
  <si>
    <r>
      <rPr>
        <b/>
        <color rgb="FF0F172A"/>
      </rPr>
      <t>Bulk reads missing the user list or the field list are rejected (422)</t>
    </r>
    <r>
      <rPr>
        <color rgb="FF334155"/>
      </rPr>
      <t xml:space="preserve">
Sends a bulk read without the list of user IDs, then one without the list of fields.</t>
    </r>
  </si>
  <si>
    <t>POST /api/v1/pii-test/batch/read {"fields":["NAME"]} · POST /api/v1/pii-test/batch/read {"user_ids":["&lt;fake user&gt;"]}</t>
  </si>
  <si>
    <t xml:space="preserve">1. Send a bulk read with no user ID list
2. Send a bulk read with no field list</t>
  </si>
  <si>
    <t>Both get 422 (refused: the request format is invalid), naming the missing list. Not yet seen on staging: expected from how save and read treat missing parts; to be checked on the next run (question BQ-09).</t>
  </si>
  <si>
    <t xml:space="preserve">• Missing user list → 422 naming user_ids
• Missing field list → 422 naming fields</t>
  </si>
  <si>
    <t>Incomplete requests must be refused, never answered with someone’s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</si>
  <si>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</si>
  <si>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</si>
  <si>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</si>
  <si>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</si>
  <si>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Not yet seen for bulk read; to be checked on the next run (questions BQ-12 and BQ-27).</t>
  </si>
  <si>
    <t>Only agreed personal fields may be read in bulk. The service must refuse anything else.</t>
  </si>
  <si>
    <t>6.  Create temporary phone     POST /api/v1/pii-test/transient/phones        1 test cases  ·  ✔ 0  ·  ✘ 0  ·  ⏸ 1 blocked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</si>
  <si>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</si>
  <si>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</si>
  <si>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</si>
  <si>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</si>
  <si>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</si>
  <si>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Blocked until approved test phone numbers are provided (question BQ-03) and Dev gives the Aisle caller temporary-phone access (question BQ-02). Today these calls return 403 (refused: access denied).</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</si>
  <si>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</si>
  <si>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</si>
  <si>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</si>
  <si>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</si>
  <si>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</si>
  <si>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BQ-03: No approved test phone numbers configured (AISLE_TEST_PHONES)</t>
  </si>
  <si>
    <t>BLOCKED — BQ-03: No approved test phone numbers configured (AISLE_TEST_PHONES)</t>
  </si>
  <si>
    <t>7.  Look up temporary phone     POST /api/v1/pii-test/transient/phones/resolve        2 test cases  ·  ✔ 0  ·  ✘ 0  ·  ⏸ 2 blocked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</si>
  <si>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</si>
  <si>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</si>
  <si>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</si>
  <si>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</si>
  <si>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</si>
  <si>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</si>
  <si>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</si>
  <si>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</si>
  <si>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</si>
  <si>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</si>
  <si>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</si>
  <si>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</si>
  <si>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</si>
  <si>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</si>
  <si>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</si>
  <si>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</si>
  <si>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8.  Promote temporary phone     POST /api/v1/pii-test/transient/phones/promote        1 test cases  ·  ✔ 0  ·  ✘ 0  ·  ⏸ 1 blocked  ·  — 0</t>
  </si>
  <si>
    <t>What this endpoint does: Store a transient phone as permanent user PII.</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</si>
  <si>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</si>
  <si>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</si>
  <si>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/api/v1/pii-test/transient/phones/promote</t>
  </si>
  <si>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</si>
  <si>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</si>
  <si>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</si>
  <si>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</si>
  <si>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</si>
  <si>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9.  Create encryption key     POST /api/v1/pii-test/free-text/keys        1 test cases  ·  ✔ 0  ·  ✘ 0  ·  ⏸ 1 blocked  ·  — 0</t>
  </si>
  <si>
    <t>What this endpoint does: Create a caller-owned free-text encryption key.</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</si>
  <si>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</si>
  <si>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</si>
  <si>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</si>
  <si>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/api/v1/pii-test/free-text/keys</t>
  </si>
  <si>
    <t>Blocked until Dev gives the Aisle caller free-text key access (question BQ-02). Today these calls return 403 (refused: access denied).</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</si>
  <si>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</si>
  <si>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</si>
  <si>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To be confirmed by Dev (question BQ-02).</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</si>
  <si>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</si>
  <si>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</si>
  <si>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BQ-02: Free-text key access not granted to the Aisle caller — observed POST /api/v1/pii-test/free-text/keys -&gt; HTTP 403 code=AUTHORIZATION_DENIED (requestId=bba93383-71ac-46e7-b306-e1787a25f020, 106ms)</t>
  </si>
  <si>
    <t>BLOCKED — BQ-02: Free-text key access not granted to the Aisle caller — observed POST /api/v1/pii-test/free-text/keys -&gt; HTTP 403 code=AUTHORIZATION_DENIED (requestId=bba93383-71ac-46e7-b306-e1787a25f020, 106ms)</t>
  </si>
  <si>
    <t>10.  Read encryption key     POST /api/v1/pii-test/free-text/keys/read        1 test cases  ·  ✔ 0  ·  ✘ 0  ·  ⏸ 1 blocked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</si>
  <si>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</si>
  <si>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</si>
  <si>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</si>
  <si>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</si>
  <si>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</si>
  <si>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</si>
  <si>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To be confirmed by Dev (question BQ-02).</t>
  </si>
  <si>
    <t xml:space="preserve">• Read status is 200
• The key equals the one created
• Header “Cache-Control: no-store” is present</t>
  </si>
  <si>
    <t>Encrypted notes can only be opened again with exactly the same key.</t>
  </si>
  <si>
    <t>BQ-02: Free-text key access not granted to the Aisle caller — observed POST /api/v1/pii-test/free-text/keys -&gt; HTTP 403 code=AUTHORIZATION_DENIED (requestId=28f992a7-efb5-4e42-9db9-71525b7c4321, 94ms)</t>
  </si>
  <si>
    <t>BLOCKED — BQ-02: Free-text key access not granted to the Aisle caller — observed POST /api/v1/pii-test/free-text/keys -&gt; HTTP 403 code=AUTHORIZATION_DENIED (requestId=28f992a7-efb5-4e42-9db9-71525b7c4321, 94ms)</t>
  </si>
  <si>
    <t>11.  Revoke encryption key     POST /api/v1/pii-test/free-text/keys/revoke        1 test cases  ·  ✔ 0  ·  ✘ 0  ·  ⏸ 1 blocked  ·  — 0</t>
  </si>
  <si>
    <t>What this endpoint does: Revoke a caller-owned key.</t>
  </si>
  <si>
    <t>AISLE-FT-003</t>
  </si>
  <si>
    <r>
      <rPr>
        <b/>
        <color rgb="FF0F172A"/>
      </rPr>
      <t>A revoked key can no longer be read or revoked again (404), and unknown key IDs return 404</t>
    </r>
    <r>
      <rPr>
        <color rgb="FF334155"/>
      </rPr>
      <t xml:space="preserve">
Creates and revokes (permanently switches off) a free-text key, then tries to read it and revoke it again. Also reads a made-up key ID.</t>
    </r>
  </si>
  <si>
    <t>/api/v1/pii-test/free-text/keys/revoke</t>
  </si>
  <si>
    <t>POST /api/v1/pii-test/free-text/keys {} · POST /api/v1/pii-test/free-text/keys/revoke {"key_id":"&lt;key ID&gt;"} · POST /api/v1/pii-test/free-text/keys/read and /revoke again · POST /api/v1/pii-test/free-text/keys/read {"key_id":"&lt;made-up ID&gt;"}</t>
  </si>
  <si>
    <t xml:space="preserve">1. Create a key
2. Revoke it
3. Read it and revoke it again
4. Read a made-up key ID</t>
  </si>
  <si>
    <t>Revoke returns 200 OK with status REVOKED. The later read, the second revoke and the made-up key ID all return 404 (not found). To be confirmed by Dev (question BQ-02).</t>
  </si>
  <si>
    <t xml:space="preserve">• Revoke status is 200 with status REVOKED
• Read after revoke → 404
• Second revoke → 404
• Made-up key ID → 404</t>
  </si>
  <si>
    <t>Revoking must really switch a key off, for example after it leaked.</t>
  </si>
  <si>
    <t>BQ-02: Free-text key access not granted to the Aisle caller — observed POST /api/v1/pii-test/free-text/keys -&gt; HTTP 403 code=AUTHORIZATION_DENIED (requestId=161499ba-3158-4a75-bd74-1d9caf83858b, 92ms)</t>
  </si>
  <si>
    <t>BLOCKED — BQ-02: Free-text key access not granted to the Aisle caller — observed POST /api/v1/pii-test/free-text/keys -&gt; HTTP 403 code=AUTHORIZATION_DENIED (requestId=161499ba-3158-4a75-bd74-1d9caf83858b, 92ms)</t>
  </si>
  <si>
    <t>12.  Across endpoints     several endpoints        4 test cases  ·  ✔ 4  ·  ✘ 0  ·  — 0</t>
  </si>
  <si>
    <t>What this endpoint does: Checks that span several or all endpoints.</t>
  </si>
  <si>
    <t>AISLE-AUTH-004</t>
  </si>
  <si>
    <r>
      <rPr>
        <b/>
        <color rgb="FF0F172A"/>
      </rPr>
      <t>Every Aisle PII endpoint refuses a request without a token (401)</t>
    </r>
    <r>
      <rPr>
        <color rgb="FF334155"/>
      </rPr>
      <t xml:space="preserve">
Calls all 11 Aisle facade endpoints (the service’s web addresses) with no token and harmless fake request bodies (no real phone numbers or IDs).</t>
    </r>
  </si>
  <si>
    <t>several</t>
  </si>
  <si>
    <t>Every facade endpoint (health, save, read, EMAIL search, bulk read, 3 temporary-phone, 3 free-text-key) with a harmless fake body and no Authorization header</t>
  </si>
  <si>
    <t xml:space="preserve">1. For each endpoint, send a request with no Authorization header (the header that carries the token)
2. Collect every endpoint that did not answer 401</t>
  </si>
  <si>
    <t>Every endpoint answers 401 Unauthorized (refused: not signed in) with no data. Seen on staging for health, read and save; this run confirms the others (question BQ-09).</t>
  </si>
  <si>
    <t xml:space="preserve">• Every endpoint answers 401
• No reply contains data
• Any endpoint that does not is listed by name</t>
  </si>
  <si>
    <t>One unprotected endpoint would be enough to leak personal data.</t>
  </si>
  <si>
    <t>AISLE-CON-001</t>
  </si>
  <si>
    <r>
      <rPr>
        <b/>
        <color rgb="FF0F172A"/>
      </rPr>
      <t>Success replies contain exactly the agreed fields</t>
    </r>
    <r>
      <rPr>
        <color rgb="FF334155"/>
      </rPr>
      <t xml:space="preserve">
Calls health, save, read and bulk read (one request for several users) with fake data, and compares the field names in each reply with the list seen on staging.</t>
    </r>
  </si>
  <si>
    <t>Contract</t>
  </si>
  <si>
    <t>GET /api/v1/pii-test/health/ready · POST /api/v1/pii-test (fake name) · POST /api/v1/pii-test/read · POST /api/v1/pii-test/batch/read (two fake users)</t>
  </si>
  <si>
    <t xml:space="preserve">1. Call health, save a fake name, read it, and bulk read two fake users
2. Compare each reply’s field names with the agreed list</t>
  </si>
  <si>
    <t>Every reply has exactly status, message, data and error. The data has exactly the fields seen today (for example, a save has tenant_id, user_id, field and key_version). The tenant (customer account) is always “aisle”. Only field names are compared, never values.</t>
  </si>
  <si>
    <t xml:space="preserve">• Every reply has exactly status, message, data and error
• Save data has exactly tenant_id, user_id, field, key_version
• Read and bulk-read data and items have exactly the observed fields
• Tenant is “aisle” in every reply</t>
  </si>
  <si>
    <t>Apps break without warning when reply fields appear, disappear or get renamed.</t>
  </si>
  <si>
    <t>AISLE-CON-002</t>
  </si>
  <si>
    <r>
      <rPr>
        <b/>
        <color rgb="FF0F172A"/>
      </rPr>
      <t>Error replies keep their current format (401 empty, 400 “Invalid JSON”, 422 list of problems)</t>
    </r>
    <r>
      <rPr>
        <color rgb="FF334155"/>
      </rPr>
      <t xml:space="preserve">
Triggers three kinds of error (a read with no token, a save with a broken body and a save with an empty value) and records the format of each reply.</t>
    </r>
  </si>
  <si>
    <t>POST /api/v1/pii-test/read without Authorization header · POST /api/v1/pii-test with a broken body · POST /api/v1/pii-test {"user_id":"&lt;fake user&gt;","field":"NAME","value":""}</t>
  </si>
  <si>
    <t xml:space="preserve">1. Send a read with no token and check the 401 reply
2. Send a save with a broken body and check the 400 reply
3. Send a save with an empty value and check the 422 reply</t>
  </si>
  <si>
    <t>401 (refused: not signed in): empty body, sent as a web page (text/html). 400 (refused: body could not be read): exactly status false, error “Invalid JSON” and message “Request body must be valid JSON”. 422 (refused: request format invalid): only a “detail” list of problems. These are today’s formats; the intended single format is waiting on Dev (question BQ-09).</t>
  </si>
  <si>
    <t xml:space="preserve">• 401: empty body, content type text/html
• 400: exactly status false, error “Invalid JSON”, message “Request body must be valid JSON”
• 422: only a “detail” list naming value</t>
  </si>
  <si>
    <t>Apps must read error replies reliably. This catches format changes early.</t>
  </si>
  <si>
    <t>AISLE-SEC-005</t>
  </si>
  <si>
    <r>
      <rPr>
        <b/>
        <color rgb="FF0F172A"/>
      </rPr>
      <t>Error replies reveal no internal service details</t>
    </r>
    <r>
      <rPr>
        <color rgb="FF334155"/>
      </rPr>
      <t xml:space="preserve">
Triggers five kinds of error reply (no token, broken body, unknown field, never-saved user, missing value) and searches each reply for signs of the service’s insides.</t>
    </r>
  </si>
  <si>
    <t>POST /api/v1/pii-test/read without Authorization header · POST /api/v1/pii-test with a broken body · POST /api/v1/pii-test {"user_id":"&lt;fake user&gt;","field":"QA_AUTOMATION_UNKNOWN_FIELD","value":"QA Automation User"} · POST /api/v1/pii-test/read {"user_id":"&lt;never-saved fake user&gt;","field_names":["NAME"]} · POST /api/v1/pii-test {"user_id":"&lt;fake user&gt;","field":"NAME"}</t>
  </si>
  <si>
    <t xml:space="preserve">1. Send a read with no token, a save with a broken body, a save with a made-up field, a read for a never-saved fake user and a save with no value
2. Check the five replies have the expected status codes
3. Search each reply for internal details</t>
  </si>
  <si>
    <t>The replies are 401, 400,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</si>
  <si>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401, 400,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</si>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</sst>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7"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6B1D5E"/>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b/>
      <color rgb="FFB91C1C"/>
    </font>
    <font>
      <color rgb="FF9C5700"/>
    </font>
    <font>
      <color rgb="FF1D4ED8"/>
    </font>
    <font>
      <color rgb="FF6B1D5E"/>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3" fillId="13" borderId="1" xfId="0" applyFont="1" applyFill="1" applyBorder="1" applyAlignment="1">
      <alignment horizontal="left" vertical="top" wrapText="1"/>
    </xf>
    <xf numFmtId="0" fontId="16" fillId="0" borderId="1" xfId="0" applyFont="1" applyBorder="1" applyAlignment="1">
      <alignment horizontal="center" vertical="top" wrapText="1"/>
    </xf>
    <xf numFmtId="0" fontId="33" fillId="0" borderId="1" xfId="0" applyFont="1" applyBorder="1" applyAlignment="1">
      <alignment horizontal="left" vertical="top" wrapText="1"/>
    </xf>
    <xf numFmtId="0" fontId="30" fillId="13" borderId="1" xfId="0" applyFont="1" applyFill="1" applyBorder="1" applyAlignment="1">
      <alignment horizontal="center" vertical="top" wrapText="1"/>
    </xf>
    <xf numFmtId="0" fontId="34" fillId="0" borderId="1" xfId="0" applyFont="1" applyBorder="1" applyAlignment="1">
      <alignment horizontal="center" vertical="top" wrapText="1"/>
    </xf>
    <xf numFmtId="0" fontId="16" fillId="13" borderId="1" xfId="0" applyFont="1" applyFill="1" applyBorder="1" applyAlignment="1">
      <alignment horizontal="left" vertical="top" wrapText="1"/>
    </xf>
    <xf numFmtId="0" fontId="31" fillId="13" borderId="1" xfId="0" applyFont="1" applyFill="1" applyBorder="1" applyAlignment="1">
      <alignment horizontal="left" vertical="top" wrapText="1"/>
    </xf>
    <xf numFmtId="0" fontId="19" fillId="7" borderId="1" xfId="0" applyFont="1" applyFill="1" applyBorder="1" applyAlignment="1">
      <alignment horizontal="center" vertical="top" wrapText="1"/>
    </xf>
    <xf numFmtId="0" fontId="35" fillId="0" borderId="1" xfId="0" applyFont="1" applyBorder="1" applyAlignment="1">
      <alignment horizontal="left" vertical="top" wrapText="1"/>
    </xf>
    <xf numFmtId="0" fontId="19"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4" fillId="13" borderId="1" xfId="0" applyFont="1" applyFill="1" applyBorder="1" applyAlignment="1">
      <alignment horizontal="center" vertical="top" wrapText="1"/>
    </xf>
    <xf numFmtId="0" fontId="36" fillId="13" borderId="1"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22"/>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22</v>
      </c>
      <c r="H8" s="23">
        <v>13</v>
      </c>
      <c r="I8" s="24">
        <v>0</v>
      </c>
      <c r="J8" s="25">
        <v>1</v>
      </c>
      <c r="K8" s="26">
        <v>8</v>
      </c>
      <c r="L8" s="27">
        <v>0</v>
      </c>
      <c r="M8" s="28">
        <v>0</v>
      </c>
      <c r="N8" s="28"/>
      <c r="O8" s="20" t="s">
        <v>26</v>
      </c>
      <c r="P8" s="20"/>
      <c r="Q8" s="29" t="str">
        <f>HYPERLINK("#'Test Cases'!A26","Section 2 →")</f>
        <v>Section 2 →</v>
      </c>
      <c r="R8" s="29"/>
      <c r="S8" s="29"/>
    </row>
    <row r="9" ht="20" customHeight="1" spans="1:19" x14ac:dyDescent="0.25">
      <c r="A9" s="12">
        <v>3</v>
      </c>
      <c r="B9" s="13" t="str">
        <f>HYPERLINK("#'Test Cases'!A52","Read PII")</f>
        <v>Read PII</v>
      </c>
      <c r="C9" s="13"/>
      <c r="D9" s="14" t="s">
        <v>27</v>
      </c>
      <c r="E9" s="14"/>
      <c r="F9" s="14"/>
      <c r="G9" s="12">
        <v>10</v>
      </c>
      <c r="H9" s="15">
        <v>7</v>
      </c>
      <c r="I9" s="16">
        <v>0</v>
      </c>
      <c r="J9" s="16">
        <v>0</v>
      </c>
      <c r="K9" s="30">
        <v>3</v>
      </c>
      <c r="L9" s="17">
        <v>0</v>
      </c>
      <c r="M9" s="18">
        <v>0</v>
      </c>
      <c r="N9" s="18"/>
      <c r="O9" s="12" t="s">
        <v>24</v>
      </c>
      <c r="P9" s="12"/>
      <c r="Q9" s="19" t="str">
        <f>HYPERLINK("#'Test Cases'!A52","Section 3 →")</f>
        <v>Section 3 →</v>
      </c>
      <c r="R9" s="19"/>
      <c r="S9" s="19"/>
    </row>
    <row r="10" ht="20" customHeight="1" spans="1:19" x14ac:dyDescent="0.25">
      <c r="A10" s="20">
        <v>4</v>
      </c>
      <c r="B10" s="21" t="str">
        <f>HYPERLINK("#'Test Cases'!A66","Search PII")</f>
        <v>Search PII</v>
      </c>
      <c r="C10" s="21"/>
      <c r="D10" s="22" t="s">
        <v>28</v>
      </c>
      <c r="E10" s="22"/>
      <c r="F10" s="22"/>
      <c r="G10" s="20">
        <v>5</v>
      </c>
      <c r="H10" s="23">
        <v>1</v>
      </c>
      <c r="I10" s="24">
        <v>0</v>
      </c>
      <c r="J10" s="24">
        <v>0</v>
      </c>
      <c r="K10" s="26">
        <v>4</v>
      </c>
      <c r="L10" s="27">
        <v>0</v>
      </c>
      <c r="M10" s="28">
        <v>0</v>
      </c>
      <c r="N10" s="28"/>
      <c r="O10" s="20" t="s">
        <v>24</v>
      </c>
      <c r="P10" s="20"/>
      <c r="Q10" s="29" t="str">
        <f>HYPERLINK("#'Test Cases'!A66","Section 4 →")</f>
        <v>Section 4 →</v>
      </c>
      <c r="R10" s="29"/>
      <c r="S10" s="29"/>
    </row>
    <row r="11" ht="20" customHeight="1" spans="1:19" x14ac:dyDescent="0.25">
      <c r="A11" s="12">
        <v>5</v>
      </c>
      <c r="B11" s="13" t="str">
        <f>HYPERLINK("#'Test Cases'!A75","Bulk read PII")</f>
        <v>Bulk read PII</v>
      </c>
      <c r="C11" s="13"/>
      <c r="D11" s="14" t="s">
        <v>29</v>
      </c>
      <c r="E11" s="14"/>
      <c r="F11" s="14"/>
      <c r="G11" s="12">
        <v>6</v>
      </c>
      <c r="H11" s="15">
        <v>6</v>
      </c>
      <c r="I11" s="16">
        <v>0</v>
      </c>
      <c r="J11" s="16">
        <v>0</v>
      </c>
      <c r="K11" s="17">
        <v>0</v>
      </c>
      <c r="L11" s="17">
        <v>0</v>
      </c>
      <c r="M11" s="18">
        <v>0</v>
      </c>
      <c r="N11" s="18"/>
      <c r="O11" s="12" t="s">
        <v>24</v>
      </c>
      <c r="P11" s="12"/>
      <c r="Q11" s="19" t="str">
        <f>HYPERLINK("#'Test Cases'!A75","Section 5 →")</f>
        <v>Section 5 →</v>
      </c>
      <c r="R11" s="19"/>
      <c r="S11" s="19"/>
    </row>
    <row r="12" ht="20" customHeight="1" spans="1:19" x14ac:dyDescent="0.25">
      <c r="A12" s="20">
        <v>6</v>
      </c>
      <c r="B12" s="21" t="str">
        <f>HYPERLINK("#'Test Cases'!A85","Create temporary phone")</f>
        <v>Create temporary phone</v>
      </c>
      <c r="C12" s="21"/>
      <c r="D12" s="22" t="s">
        <v>30</v>
      </c>
      <c r="E12" s="22"/>
      <c r="F12" s="22"/>
      <c r="G12" s="20">
        <v>1</v>
      </c>
      <c r="H12" s="23">
        <v>0</v>
      </c>
      <c r="I12" s="24">
        <v>0</v>
      </c>
      <c r="J12" s="24">
        <v>0</v>
      </c>
      <c r="K12" s="26">
        <v>1</v>
      </c>
      <c r="L12" s="27">
        <v>0</v>
      </c>
      <c r="M12" s="28">
        <v>0</v>
      </c>
      <c r="N12" s="28"/>
      <c r="O12" s="20" t="s">
        <v>31</v>
      </c>
      <c r="P12" s="20"/>
      <c r="Q12" s="29" t="str">
        <f>HYPERLINK("#'Test Cases'!A85","Section 6 →")</f>
        <v>Section 6 →</v>
      </c>
      <c r="R12" s="29"/>
      <c r="S12" s="29"/>
    </row>
    <row r="13" ht="20" customHeight="1" spans="1:19" x14ac:dyDescent="0.25">
      <c r="A13" s="12">
        <v>7</v>
      </c>
      <c r="B13" s="13" t="str">
        <f>HYPERLINK("#'Test Cases'!A90","Look up temporary phone")</f>
        <v>Look up temporary phone</v>
      </c>
      <c r="C13" s="13"/>
      <c r="D13" s="14" t="s">
        <v>32</v>
      </c>
      <c r="E13" s="14"/>
      <c r="F13" s="14"/>
      <c r="G13" s="12">
        <v>2</v>
      </c>
      <c r="H13" s="15">
        <v>0</v>
      </c>
      <c r="I13" s="16">
        <v>0</v>
      </c>
      <c r="J13" s="16">
        <v>0</v>
      </c>
      <c r="K13" s="30">
        <v>2</v>
      </c>
      <c r="L13" s="17">
        <v>0</v>
      </c>
      <c r="M13" s="18">
        <v>0</v>
      </c>
      <c r="N13" s="18"/>
      <c r="O13" s="12" t="s">
        <v>31</v>
      </c>
      <c r="P13" s="12"/>
      <c r="Q13" s="19" t="str">
        <f>HYPERLINK("#'Test Cases'!A90","Section 7 →")</f>
        <v>Section 7 →</v>
      </c>
      <c r="R13" s="19"/>
      <c r="S13" s="19"/>
    </row>
    <row r="14" ht="20" customHeight="1" spans="1:19" x14ac:dyDescent="0.25">
      <c r="A14" s="20">
        <v>8</v>
      </c>
      <c r="B14" s="21" t="str">
        <f>HYPERLINK("#'Test Cases'!A96","Promote temporary phone")</f>
        <v>Promote temporary phone</v>
      </c>
      <c r="C14" s="21"/>
      <c r="D14" s="22" t="s">
        <v>33</v>
      </c>
      <c r="E14" s="22"/>
      <c r="F14" s="22"/>
      <c r="G14" s="20">
        <v>1</v>
      </c>
      <c r="H14" s="23">
        <v>0</v>
      </c>
      <c r="I14" s="24">
        <v>0</v>
      </c>
      <c r="J14" s="24">
        <v>0</v>
      </c>
      <c r="K14" s="26">
        <v>1</v>
      </c>
      <c r="L14" s="27">
        <v>0</v>
      </c>
      <c r="M14" s="28">
        <v>0</v>
      </c>
      <c r="N14" s="28"/>
      <c r="O14" s="20" t="s">
        <v>31</v>
      </c>
      <c r="P14" s="20"/>
      <c r="Q14" s="29" t="str">
        <f>HYPERLINK("#'Test Cases'!A96","Section 8 →")</f>
        <v>Section 8 →</v>
      </c>
      <c r="R14" s="29"/>
      <c r="S14" s="29"/>
    </row>
    <row r="15" ht="20" customHeight="1" spans="1:19" x14ac:dyDescent="0.25">
      <c r="A15" s="12">
        <v>9</v>
      </c>
      <c r="B15" s="13" t="str">
        <f>HYPERLINK("#'Test Cases'!A101","Create encryption key")</f>
        <v>Create encryption key</v>
      </c>
      <c r="C15" s="13"/>
      <c r="D15" s="14" t="s">
        <v>34</v>
      </c>
      <c r="E15" s="14"/>
      <c r="F15" s="14"/>
      <c r="G15" s="12">
        <v>1</v>
      </c>
      <c r="H15" s="15">
        <v>0</v>
      </c>
      <c r="I15" s="16">
        <v>0</v>
      </c>
      <c r="J15" s="16">
        <v>0</v>
      </c>
      <c r="K15" s="30">
        <v>1</v>
      </c>
      <c r="L15" s="17">
        <v>0</v>
      </c>
      <c r="M15" s="18">
        <v>0</v>
      </c>
      <c r="N15" s="18"/>
      <c r="O15" s="12" t="s">
        <v>31</v>
      </c>
      <c r="P15" s="12"/>
      <c r="Q15" s="19" t="str">
        <f>HYPERLINK("#'Test Cases'!A101","Section 9 →")</f>
        <v>Section 9 →</v>
      </c>
      <c r="R15" s="19"/>
      <c r="S15" s="19"/>
    </row>
    <row r="16" ht="20" customHeight="1" spans="1:19" x14ac:dyDescent="0.25">
      <c r="A16" s="20">
        <v>10</v>
      </c>
      <c r="B16" s="21" t="str">
        <f>HYPERLINK("#'Test Cases'!A106","Read encryption key")</f>
        <v>Read encryption key</v>
      </c>
      <c r="C16" s="21"/>
      <c r="D16" s="22" t="s">
        <v>35</v>
      </c>
      <c r="E16" s="22"/>
      <c r="F16" s="22"/>
      <c r="G16" s="20">
        <v>1</v>
      </c>
      <c r="H16" s="23">
        <v>0</v>
      </c>
      <c r="I16" s="24">
        <v>0</v>
      </c>
      <c r="J16" s="24">
        <v>0</v>
      </c>
      <c r="K16" s="26">
        <v>1</v>
      </c>
      <c r="L16" s="27">
        <v>0</v>
      </c>
      <c r="M16" s="28">
        <v>0</v>
      </c>
      <c r="N16" s="28"/>
      <c r="O16" s="20" t="s">
        <v>31</v>
      </c>
      <c r="P16" s="20"/>
      <c r="Q16" s="29" t="str">
        <f>HYPERLINK("#'Test Cases'!A106","Section 10 →")</f>
        <v>Section 10 →</v>
      </c>
      <c r="R16" s="29"/>
      <c r="S16" s="29"/>
    </row>
    <row r="17" ht="20" customHeight="1" spans="1:19" x14ac:dyDescent="0.25">
      <c r="A17" s="12">
        <v>11</v>
      </c>
      <c r="B17" s="13" t="str">
        <f>HYPERLINK("#'Test Cases'!A111","Revoke encryption key")</f>
        <v>Revoke encryption key</v>
      </c>
      <c r="C17" s="13"/>
      <c r="D17" s="14" t="s">
        <v>36</v>
      </c>
      <c r="E17" s="14"/>
      <c r="F17" s="14"/>
      <c r="G17" s="12">
        <v>1</v>
      </c>
      <c r="H17" s="15">
        <v>0</v>
      </c>
      <c r="I17" s="16">
        <v>0</v>
      </c>
      <c r="J17" s="16">
        <v>0</v>
      </c>
      <c r="K17" s="30">
        <v>1</v>
      </c>
      <c r="L17" s="17">
        <v>0</v>
      </c>
      <c r="M17" s="18">
        <v>0</v>
      </c>
      <c r="N17" s="18"/>
      <c r="O17" s="12" t="s">
        <v>31</v>
      </c>
      <c r="P17" s="12"/>
      <c r="Q17" s="19" t="str">
        <f>HYPERLINK("#'Test Cases'!A111","Section 11 →")</f>
        <v>Section 11 →</v>
      </c>
      <c r="R17" s="19"/>
      <c r="S17" s="19"/>
    </row>
    <row r="18" ht="20" customHeight="1" spans="1:19" x14ac:dyDescent="0.25">
      <c r="A18" s="20">
        <v>12</v>
      </c>
      <c r="B18" s="21" t="str">
        <f>HYPERLINK("#'Test Cases'!A116","Across endpoints")</f>
        <v>Across endpoints</v>
      </c>
      <c r="C18" s="21"/>
      <c r="D18" s="22" t="s">
        <v>37</v>
      </c>
      <c r="E18" s="22"/>
      <c r="F18" s="22"/>
      <c r="G18" s="20">
        <v>4</v>
      </c>
      <c r="H18" s="23">
        <v>4</v>
      </c>
      <c r="I18" s="24">
        <v>0</v>
      </c>
      <c r="J18" s="24">
        <v>0</v>
      </c>
      <c r="K18" s="27">
        <v>0</v>
      </c>
      <c r="L18" s="27">
        <v>0</v>
      </c>
      <c r="M18" s="28">
        <v>0</v>
      </c>
      <c r="N18" s="28"/>
      <c r="O18" s="20" t="s">
        <v>24</v>
      </c>
      <c r="P18" s="20"/>
      <c r="Q18" s="29" t="str">
        <f>HYPERLINK("#'Test Cases'!A116","Section 12 →")</f>
        <v>Section 12 →</v>
      </c>
      <c r="R18" s="29"/>
      <c r="S18" s="29"/>
    </row>
    <row r="21" ht="28" customHeight="1" spans="1:19" x14ac:dyDescent="0.25">
      <c r="A21" s="31" t="s">
        <v>38</v>
      </c>
      <c r="B21" s="31"/>
      <c r="C21" s="31"/>
      <c r="D21" s="31"/>
      <c r="E21" s="31"/>
      <c r="F21" s="31"/>
      <c r="G21" s="31"/>
      <c r="H21" s="31"/>
      <c r="I21" s="31"/>
      <c r="J21" s="31"/>
      <c r="K21" s="31"/>
      <c r="L21" s="31"/>
      <c r="M21" s="31"/>
      <c r="N21" s="31"/>
      <c r="O21" s="31"/>
      <c r="P21" s="31"/>
      <c r="Q21" s="31"/>
      <c r="R21" s="31"/>
      <c r="S21" s="32" t="str">
        <f>HYPERLINK("#'Test Cases'!A5","↑ Summary")</f>
        <v>↑ Summary</v>
      </c>
    </row>
    <row r="22" ht="18" customHeight="1" spans="1:19" x14ac:dyDescent="0.25">
      <c r="A22" s="33" t="s">
        <v>39</v>
      </c>
      <c r="B22" s="33"/>
      <c r="C22" s="33"/>
      <c r="D22" s="33"/>
      <c r="E22" s="33"/>
      <c r="F22" s="33"/>
      <c r="G22" s="33"/>
      <c r="H22" s="33"/>
      <c r="I22" s="33"/>
      <c r="J22" s="33"/>
      <c r="K22" s="33"/>
      <c r="L22" s="33"/>
      <c r="M22" s="33"/>
      <c r="N22" s="33"/>
      <c r="O22" s="33"/>
      <c r="P22" s="33"/>
      <c r="Q22" s="33"/>
      <c r="R22" s="33"/>
      <c r="S22" s="33"/>
    </row>
    <row r="23" ht="30" customHeight="1" spans="1:19" x14ac:dyDescent="0.25">
      <c r="A23" s="11" t="s">
        <v>40</v>
      </c>
      <c r="B23" s="11" t="s">
        <v>41</v>
      </c>
      <c r="C23" s="11" t="s">
        <v>42</v>
      </c>
      <c r="D23" s="11" t="s">
        <v>43</v>
      </c>
      <c r="E23" s="11" t="s">
        <v>12</v>
      </c>
      <c r="F23" s="11" t="s">
        <v>44</v>
      </c>
      <c r="G23" s="11" t="s">
        <v>45</v>
      </c>
      <c r="H23" s="11" t="s">
        <v>46</v>
      </c>
      <c r="I23" s="11" t="s">
        <v>47</v>
      </c>
      <c r="J23" s="11" t="s">
        <v>48</v>
      </c>
      <c r="K23" s="11" t="s">
        <v>49</v>
      </c>
      <c r="L23" s="11" t="s">
        <v>50</v>
      </c>
      <c r="M23" s="11" t="s">
        <v>51</v>
      </c>
      <c r="N23" s="11" t="s">
        <v>52</v>
      </c>
      <c r="O23" s="11" t="s">
        <v>53</v>
      </c>
      <c r="P23" s="11" t="s">
        <v>54</v>
      </c>
      <c r="Q23" s="11" t="s">
        <v>55</v>
      </c>
      <c r="R23" s="11" t="s">
        <v>56</v>
      </c>
      <c r="S23" s="11" t="s">
        <v>57</v>
      </c>
    </row>
    <row r="24" ht="126" customHeight="1" spans="1:19" x14ac:dyDescent="0.25">
      <c r="A24" s="34">
        <v>1</v>
      </c>
      <c r="B24" s="35" t="s">
        <v>58</v>
      </c>
      <c r="C24" s="36" t="s">
        <v>59</v>
      </c>
      <c r="D24" s="37" t="s">
        <v>60</v>
      </c>
      <c r="E24" s="38" t="s">
        <v>61</v>
      </c>
      <c r="F24" s="39" t="s">
        <v>62</v>
      </c>
      <c r="G24" s="36" t="s">
        <v>63</v>
      </c>
      <c r="H24" s="40" t="s">
        <v>64</v>
      </c>
      <c r="I24" s="36" t="s">
        <v>65</v>
      </c>
      <c r="J24" s="36" t="s">
        <v>66</v>
      </c>
      <c r="K24" s="36" t="s">
        <v>67</v>
      </c>
      <c r="L24" s="37" t="s">
        <v>68</v>
      </c>
      <c r="M24" s="34" t="s">
        <v>69</v>
      </c>
      <c r="N24" s="41" t="s">
        <v>70</v>
      </c>
      <c r="O24" s="42" t="s">
        <v>71</v>
      </c>
      <c r="P24" s="43" t="s">
        <v>72</v>
      </c>
      <c r="Q24" s="44" t="s">
        <v>63</v>
      </c>
      <c r="R24" s="45" t="s">
        <v>73</v>
      </c>
      <c r="S24" s="36" t="s">
        <v>73</v>
      </c>
    </row>
    <row r="26" ht="28" customHeight="1" spans="1:19" x14ac:dyDescent="0.25">
      <c r="A26" s="31" t="s">
        <v>74</v>
      </c>
      <c r="B26" s="31"/>
      <c r="C26" s="31"/>
      <c r="D26" s="31"/>
      <c r="E26" s="31"/>
      <c r="F26" s="31"/>
      <c r="G26" s="31"/>
      <c r="H26" s="31"/>
      <c r="I26" s="31"/>
      <c r="J26" s="31"/>
      <c r="K26" s="31"/>
      <c r="L26" s="31"/>
      <c r="M26" s="31"/>
      <c r="N26" s="31"/>
      <c r="O26" s="31"/>
      <c r="P26" s="31"/>
      <c r="Q26" s="31"/>
      <c r="R26" s="31"/>
      <c r="S26" s="32" t="str">
        <f>HYPERLINK("#'Test Cases'!A5","↑ Summary")</f>
        <v>↑ Summary</v>
      </c>
    </row>
    <row r="27" ht="18" customHeight="1" spans="1:19" x14ac:dyDescent="0.25">
      <c r="A27" s="33" t="s">
        <v>75</v>
      </c>
      <c r="B27" s="33"/>
      <c r="C27" s="33"/>
      <c r="D27" s="33"/>
      <c r="E27" s="33"/>
      <c r="F27" s="33"/>
      <c r="G27" s="33"/>
      <c r="H27" s="33"/>
      <c r="I27" s="33"/>
      <c r="J27" s="33"/>
      <c r="K27" s="33"/>
      <c r="L27" s="33"/>
      <c r="M27" s="33"/>
      <c r="N27" s="33"/>
      <c r="O27" s="33"/>
      <c r="P27" s="33"/>
      <c r="Q27" s="33"/>
      <c r="R27" s="33"/>
      <c r="S27" s="33"/>
    </row>
    <row r="28" ht="30" customHeight="1" spans="1:19" x14ac:dyDescent="0.25">
      <c r="A28" s="11" t="s">
        <v>40</v>
      </c>
      <c r="B28" s="11" t="s">
        <v>41</v>
      </c>
      <c r="C28" s="11" t="s">
        <v>42</v>
      </c>
      <c r="D28" s="11" t="s">
        <v>43</v>
      </c>
      <c r="E28" s="11" t="s">
        <v>12</v>
      </c>
      <c r="F28" s="11" t="s">
        <v>44</v>
      </c>
      <c r="G28" s="11" t="s">
        <v>45</v>
      </c>
      <c r="H28" s="11" t="s">
        <v>46</v>
      </c>
      <c r="I28" s="11" t="s">
        <v>47</v>
      </c>
      <c r="J28" s="11" t="s">
        <v>48</v>
      </c>
      <c r="K28" s="11" t="s">
        <v>49</v>
      </c>
      <c r="L28" s="11" t="s">
        <v>50</v>
      </c>
      <c r="M28" s="11" t="s">
        <v>51</v>
      </c>
      <c r="N28" s="11" t="s">
        <v>52</v>
      </c>
      <c r="O28" s="11" t="s">
        <v>53</v>
      </c>
      <c r="P28" s="11" t="s">
        <v>54</v>
      </c>
      <c r="Q28" s="11" t="s">
        <v>55</v>
      </c>
      <c r="R28" s="11" t="s">
        <v>56</v>
      </c>
      <c r="S28" s="11" t="s">
        <v>57</v>
      </c>
    </row>
    <row r="29" ht="111" customHeight="1" spans="1:19" x14ac:dyDescent="0.25">
      <c r="A29" s="34">
        <v>1</v>
      </c>
      <c r="B29" s="35" t="s">
        <v>76</v>
      </c>
      <c r="C29" s="36" t="s">
        <v>77</v>
      </c>
      <c r="D29" s="37" t="s">
        <v>78</v>
      </c>
      <c r="E29" s="38" t="s">
        <v>79</v>
      </c>
      <c r="F29" s="39" t="s">
        <v>80</v>
      </c>
      <c r="G29" s="36" t="s">
        <v>63</v>
      </c>
      <c r="H29" s="40" t="s">
        <v>81</v>
      </c>
      <c r="I29" s="36" t="s">
        <v>82</v>
      </c>
      <c r="J29" s="36" t="s">
        <v>83</v>
      </c>
      <c r="K29" s="36" t="s">
        <v>84</v>
      </c>
      <c r="L29" s="37" t="s">
        <v>85</v>
      </c>
      <c r="M29" s="34" t="s">
        <v>86</v>
      </c>
      <c r="N29" s="41" t="s">
        <v>70</v>
      </c>
      <c r="O29" s="46" t="s">
        <v>87</v>
      </c>
      <c r="P29" s="43" t="s">
        <v>72</v>
      </c>
      <c r="Q29" s="44" t="s">
        <v>63</v>
      </c>
      <c r="R29" s="45" t="s">
        <v>73</v>
      </c>
      <c r="S29" s="36" t="s">
        <v>73</v>
      </c>
    </row>
    <row r="30" ht="141" customHeight="1" spans="1:19" x14ac:dyDescent="0.25">
      <c r="A30" s="47">
        <v>2</v>
      </c>
      <c r="B30" s="48" t="s">
        <v>88</v>
      </c>
      <c r="C30" s="49" t="s">
        <v>89</v>
      </c>
      <c r="D30" s="50" t="s">
        <v>90</v>
      </c>
      <c r="E30" s="51" t="s">
        <v>79</v>
      </c>
      <c r="F30" s="52" t="s">
        <v>80</v>
      </c>
      <c r="G30" s="49" t="s">
        <v>91</v>
      </c>
      <c r="H30" s="53" t="s">
        <v>92</v>
      </c>
      <c r="I30" s="49" t="s">
        <v>93</v>
      </c>
      <c r="J30" s="49" t="s">
        <v>94</v>
      </c>
      <c r="K30" s="49" t="s">
        <v>95</v>
      </c>
      <c r="L30" s="50" t="s">
        <v>96</v>
      </c>
      <c r="M30" s="47" t="s">
        <v>90</v>
      </c>
      <c r="N30" s="54" t="s">
        <v>97</v>
      </c>
      <c r="O30" s="55" t="s">
        <v>87</v>
      </c>
      <c r="P30" s="56" t="s">
        <v>98</v>
      </c>
      <c r="Q30" s="57" t="s">
        <v>99</v>
      </c>
      <c r="R30" s="57" t="s">
        <v>100</v>
      </c>
      <c r="S30" s="49" t="s">
        <v>73</v>
      </c>
    </row>
    <row r="31" ht="81" customHeight="1" spans="1:19" x14ac:dyDescent="0.25">
      <c r="A31" s="34">
        <v>3</v>
      </c>
      <c r="B31" s="35" t="s">
        <v>101</v>
      </c>
      <c r="C31" s="36" t="s">
        <v>102</v>
      </c>
      <c r="D31" s="37" t="s">
        <v>90</v>
      </c>
      <c r="E31" s="38" t="s">
        <v>79</v>
      </c>
      <c r="F31" s="39" t="s">
        <v>80</v>
      </c>
      <c r="G31" s="36" t="s">
        <v>91</v>
      </c>
      <c r="H31" s="40" t="s">
        <v>103</v>
      </c>
      <c r="I31" s="36" t="s">
        <v>104</v>
      </c>
      <c r="J31" s="36" t="s">
        <v>105</v>
      </c>
      <c r="K31" s="36" t="s">
        <v>106</v>
      </c>
      <c r="L31" s="37" t="s">
        <v>107</v>
      </c>
      <c r="M31" s="34" t="s">
        <v>90</v>
      </c>
      <c r="N31" s="58" t="s">
        <v>97</v>
      </c>
      <c r="O31" s="42" t="s">
        <v>71</v>
      </c>
      <c r="P31" s="56" t="s">
        <v>98</v>
      </c>
      <c r="Q31" s="59" t="s">
        <v>99</v>
      </c>
      <c r="R31" s="59" t="s">
        <v>100</v>
      </c>
      <c r="S31" s="36" t="s">
        <v>73</v>
      </c>
    </row>
    <row r="32" ht="96" customHeight="1" spans="1:19" x14ac:dyDescent="0.25">
      <c r="A32" s="47">
        <v>4</v>
      </c>
      <c r="B32" s="48" t="s">
        <v>108</v>
      </c>
      <c r="C32" s="49" t="s">
        <v>109</v>
      </c>
      <c r="D32" s="50" t="s">
        <v>90</v>
      </c>
      <c r="E32" s="51" t="s">
        <v>79</v>
      </c>
      <c r="F32" s="52" t="s">
        <v>80</v>
      </c>
      <c r="G32" s="49" t="s">
        <v>91</v>
      </c>
      <c r="H32" s="53" t="s">
        <v>110</v>
      </c>
      <c r="I32" s="49" t="s">
        <v>111</v>
      </c>
      <c r="J32" s="49" t="s">
        <v>112</v>
      </c>
      <c r="K32" s="49" t="s">
        <v>113</v>
      </c>
      <c r="L32" s="50" t="s">
        <v>114</v>
      </c>
      <c r="M32" s="47" t="s">
        <v>90</v>
      </c>
      <c r="N32" s="54" t="s">
        <v>97</v>
      </c>
      <c r="O32" s="60" t="s">
        <v>71</v>
      </c>
      <c r="P32" s="56" t="s">
        <v>98</v>
      </c>
      <c r="Q32" s="57" t="s">
        <v>99</v>
      </c>
      <c r="R32" s="57" t="s">
        <v>100</v>
      </c>
      <c r="S32" s="49" t="s">
        <v>73</v>
      </c>
    </row>
    <row r="33" ht="81" customHeight="1" spans="1:19" x14ac:dyDescent="0.25">
      <c r="A33" s="34">
        <v>5</v>
      </c>
      <c r="B33" s="35" t="s">
        <v>115</v>
      </c>
      <c r="C33" s="36" t="s">
        <v>116</v>
      </c>
      <c r="D33" s="37" t="s">
        <v>117</v>
      </c>
      <c r="E33" s="38" t="s">
        <v>79</v>
      </c>
      <c r="F33" s="39" t="s">
        <v>80</v>
      </c>
      <c r="G33" s="36" t="s">
        <v>63</v>
      </c>
      <c r="H33" s="40" t="s">
        <v>118</v>
      </c>
      <c r="I33" s="36" t="s">
        <v>119</v>
      </c>
      <c r="J33" s="36" t="s">
        <v>120</v>
      </c>
      <c r="K33" s="36" t="s">
        <v>121</v>
      </c>
      <c r="L33" s="37" t="s">
        <v>122</v>
      </c>
      <c r="M33" s="34" t="s">
        <v>69</v>
      </c>
      <c r="N33" s="58" t="s">
        <v>97</v>
      </c>
      <c r="O33" s="42" t="s">
        <v>71</v>
      </c>
      <c r="P33" s="43" t="s">
        <v>72</v>
      </c>
      <c r="Q33" s="44" t="s">
        <v>63</v>
      </c>
      <c r="R33" s="45" t="s">
        <v>73</v>
      </c>
      <c r="S33" s="36" t="s">
        <v>73</v>
      </c>
    </row>
    <row r="34" ht="96" customHeight="1" spans="1:19" x14ac:dyDescent="0.25">
      <c r="A34" s="47">
        <v>6</v>
      </c>
      <c r="B34" s="48" t="s">
        <v>123</v>
      </c>
      <c r="C34" s="49" t="s">
        <v>124</v>
      </c>
      <c r="D34" s="50" t="s">
        <v>117</v>
      </c>
      <c r="E34" s="51" t="s">
        <v>79</v>
      </c>
      <c r="F34" s="52" t="s">
        <v>80</v>
      </c>
      <c r="G34" s="49" t="s">
        <v>125</v>
      </c>
      <c r="H34" s="53" t="s">
        <v>126</v>
      </c>
      <c r="I34" s="49" t="s">
        <v>127</v>
      </c>
      <c r="J34" s="49" t="s">
        <v>128</v>
      </c>
      <c r="K34" s="49" t="s">
        <v>129</v>
      </c>
      <c r="L34" s="50" t="s">
        <v>130</v>
      </c>
      <c r="M34" s="47" t="s">
        <v>69</v>
      </c>
      <c r="N34" s="54" t="s">
        <v>97</v>
      </c>
      <c r="O34" s="60" t="s">
        <v>71</v>
      </c>
      <c r="P34" s="56" t="s">
        <v>98</v>
      </c>
      <c r="Q34" s="57" t="s">
        <v>131</v>
      </c>
      <c r="R34" s="57" t="s">
        <v>132</v>
      </c>
      <c r="S34" s="49" t="s">
        <v>73</v>
      </c>
    </row>
    <row r="35" ht="96" customHeight="1" spans="1:19" x14ac:dyDescent="0.25">
      <c r="A35" s="34">
        <v>7</v>
      </c>
      <c r="B35" s="35" t="s">
        <v>133</v>
      </c>
      <c r="C35" s="36" t="s">
        <v>134</v>
      </c>
      <c r="D35" s="37" t="s">
        <v>117</v>
      </c>
      <c r="E35" s="38" t="s">
        <v>79</v>
      </c>
      <c r="F35" s="39" t="s">
        <v>80</v>
      </c>
      <c r="G35" s="36" t="s">
        <v>135</v>
      </c>
      <c r="H35" s="40" t="s">
        <v>136</v>
      </c>
      <c r="I35" s="36" t="s">
        <v>137</v>
      </c>
      <c r="J35" s="36" t="s">
        <v>138</v>
      </c>
      <c r="K35" s="36" t="s">
        <v>139</v>
      </c>
      <c r="L35" s="37" t="s">
        <v>140</v>
      </c>
      <c r="M35" s="34" t="s">
        <v>141</v>
      </c>
      <c r="N35" s="58" t="s">
        <v>97</v>
      </c>
      <c r="O35" s="61" t="s">
        <v>142</v>
      </c>
      <c r="P35" s="56" t="s">
        <v>98</v>
      </c>
      <c r="Q35" s="59" t="s">
        <v>143</v>
      </c>
      <c r="R35" s="59" t="s">
        <v>144</v>
      </c>
      <c r="S35" s="36" t="s">
        <v>73</v>
      </c>
    </row>
    <row r="36" ht="111" customHeight="1" spans="1:19" x14ac:dyDescent="0.25">
      <c r="A36" s="47">
        <v>8</v>
      </c>
      <c r="B36" s="48" t="s">
        <v>145</v>
      </c>
      <c r="C36" s="49" t="s">
        <v>146</v>
      </c>
      <c r="D36" s="50" t="s">
        <v>147</v>
      </c>
      <c r="E36" s="51" t="s">
        <v>79</v>
      </c>
      <c r="F36" s="52" t="s">
        <v>80</v>
      </c>
      <c r="G36" s="49" t="s">
        <v>63</v>
      </c>
      <c r="H36" s="53" t="s">
        <v>148</v>
      </c>
      <c r="I36" s="49" t="s">
        <v>149</v>
      </c>
      <c r="J36" s="49" t="s">
        <v>150</v>
      </c>
      <c r="K36" s="49" t="s">
        <v>151</v>
      </c>
      <c r="L36" s="50" t="s">
        <v>152</v>
      </c>
      <c r="M36" s="47" t="s">
        <v>86</v>
      </c>
      <c r="N36" s="54" t="s">
        <v>97</v>
      </c>
      <c r="O36" s="55" t="s">
        <v>87</v>
      </c>
      <c r="P36" s="43" t="s">
        <v>72</v>
      </c>
      <c r="Q36" s="62" t="s">
        <v>63</v>
      </c>
      <c r="R36" s="63" t="s">
        <v>73</v>
      </c>
      <c r="S36" s="49" t="s">
        <v>73</v>
      </c>
    </row>
    <row r="37" ht="96" customHeight="1" spans="1:19" x14ac:dyDescent="0.25">
      <c r="A37" s="34">
        <v>9</v>
      </c>
      <c r="B37" s="35" t="s">
        <v>153</v>
      </c>
      <c r="C37" s="36" t="s">
        <v>154</v>
      </c>
      <c r="D37" s="37" t="s">
        <v>147</v>
      </c>
      <c r="E37" s="38" t="s">
        <v>79</v>
      </c>
      <c r="F37" s="39" t="s">
        <v>80</v>
      </c>
      <c r="G37" s="36" t="s">
        <v>63</v>
      </c>
      <c r="H37" s="40" t="s">
        <v>155</v>
      </c>
      <c r="I37" s="36" t="s">
        <v>156</v>
      </c>
      <c r="J37" s="36" t="s">
        <v>157</v>
      </c>
      <c r="K37" s="36" t="s">
        <v>158</v>
      </c>
      <c r="L37" s="37" t="s">
        <v>159</v>
      </c>
      <c r="M37" s="34" t="s">
        <v>86</v>
      </c>
      <c r="N37" s="58" t="s">
        <v>97</v>
      </c>
      <c r="O37" s="42" t="s">
        <v>71</v>
      </c>
      <c r="P37" s="64" t="s">
        <v>160</v>
      </c>
      <c r="Q37" s="65" t="s">
        <v>161</v>
      </c>
      <c r="R37" s="66" t="s">
        <v>162</v>
      </c>
      <c r="S37" s="36" t="s">
        <v>73</v>
      </c>
    </row>
    <row r="38" ht="111" customHeight="1" spans="1:19" x14ac:dyDescent="0.25">
      <c r="A38" s="47">
        <v>10</v>
      </c>
      <c r="B38" s="48" t="s">
        <v>163</v>
      </c>
      <c r="C38" s="49" t="s">
        <v>164</v>
      </c>
      <c r="D38" s="50" t="s">
        <v>147</v>
      </c>
      <c r="E38" s="51" t="s">
        <v>79</v>
      </c>
      <c r="F38" s="52" t="s">
        <v>80</v>
      </c>
      <c r="G38" s="49" t="s">
        <v>63</v>
      </c>
      <c r="H38" s="53" t="s">
        <v>165</v>
      </c>
      <c r="I38" s="49" t="s">
        <v>166</v>
      </c>
      <c r="J38" s="49" t="s">
        <v>167</v>
      </c>
      <c r="K38" s="49" t="s">
        <v>168</v>
      </c>
      <c r="L38" s="50" t="s">
        <v>169</v>
      </c>
      <c r="M38" s="47" t="s">
        <v>86</v>
      </c>
      <c r="N38" s="67" t="s">
        <v>70</v>
      </c>
      <c r="O38" s="55" t="s">
        <v>87</v>
      </c>
      <c r="P38" s="43" t="s">
        <v>72</v>
      </c>
      <c r="Q38" s="62" t="s">
        <v>63</v>
      </c>
      <c r="R38" s="63" t="s">
        <v>73</v>
      </c>
      <c r="S38" s="49" t="s">
        <v>73</v>
      </c>
    </row>
    <row r="39" ht="126" customHeight="1" spans="1:19" x14ac:dyDescent="0.25">
      <c r="A39" s="34">
        <v>11</v>
      </c>
      <c r="B39" s="35" t="s">
        <v>170</v>
      </c>
      <c r="C39" s="36" t="s">
        <v>171</v>
      </c>
      <c r="D39" s="37" t="s">
        <v>172</v>
      </c>
      <c r="E39" s="38" t="s">
        <v>79</v>
      </c>
      <c r="F39" s="39" t="s">
        <v>80</v>
      </c>
      <c r="G39" s="36" t="s">
        <v>63</v>
      </c>
      <c r="H39" s="40" t="s">
        <v>173</v>
      </c>
      <c r="I39" s="36" t="s">
        <v>174</v>
      </c>
      <c r="J39" s="36" t="s">
        <v>175</v>
      </c>
      <c r="K39" s="36" t="s">
        <v>176</v>
      </c>
      <c r="L39" s="37" t="s">
        <v>177</v>
      </c>
      <c r="M39" s="34" t="s">
        <v>69</v>
      </c>
      <c r="N39" s="41" t="s">
        <v>70</v>
      </c>
      <c r="O39" s="46" t="s">
        <v>87</v>
      </c>
      <c r="P39" s="43" t="s">
        <v>72</v>
      </c>
      <c r="Q39" s="44" t="s">
        <v>63</v>
      </c>
      <c r="R39" s="45" t="s">
        <v>73</v>
      </c>
      <c r="S39" s="36" t="s">
        <v>73</v>
      </c>
    </row>
    <row r="40" ht="141" customHeight="1" spans="1:19" x14ac:dyDescent="0.25">
      <c r="A40" s="47">
        <v>12</v>
      </c>
      <c r="B40" s="48" t="s">
        <v>178</v>
      </c>
      <c r="C40" s="49" t="s">
        <v>179</v>
      </c>
      <c r="D40" s="50" t="s">
        <v>172</v>
      </c>
      <c r="E40" s="51" t="s">
        <v>79</v>
      </c>
      <c r="F40" s="52" t="s">
        <v>80</v>
      </c>
      <c r="G40" s="49" t="s">
        <v>63</v>
      </c>
      <c r="H40" s="53" t="s">
        <v>180</v>
      </c>
      <c r="I40" s="49" t="s">
        <v>181</v>
      </c>
      <c r="J40" s="49" t="s">
        <v>182</v>
      </c>
      <c r="K40" s="49" t="s">
        <v>183</v>
      </c>
      <c r="L40" s="50" t="s">
        <v>184</v>
      </c>
      <c r="M40" s="47" t="s">
        <v>69</v>
      </c>
      <c r="N40" s="67" t="s">
        <v>70</v>
      </c>
      <c r="O40" s="55" t="s">
        <v>87</v>
      </c>
      <c r="P40" s="43" t="s">
        <v>72</v>
      </c>
      <c r="Q40" s="62" t="s">
        <v>63</v>
      </c>
      <c r="R40" s="63" t="s">
        <v>73</v>
      </c>
      <c r="S40" s="49" t="s">
        <v>73</v>
      </c>
    </row>
    <row r="41" ht="111" customHeight="1" spans="1:19" x14ac:dyDescent="0.25">
      <c r="A41" s="34">
        <v>13</v>
      </c>
      <c r="B41" s="35" t="s">
        <v>185</v>
      </c>
      <c r="C41" s="36" t="s">
        <v>186</v>
      </c>
      <c r="D41" s="37" t="s">
        <v>172</v>
      </c>
      <c r="E41" s="38" t="s">
        <v>79</v>
      </c>
      <c r="F41" s="39" t="s">
        <v>80</v>
      </c>
      <c r="G41" s="36" t="s">
        <v>63</v>
      </c>
      <c r="H41" s="40" t="s">
        <v>187</v>
      </c>
      <c r="I41" s="36" t="s">
        <v>188</v>
      </c>
      <c r="J41" s="36" t="s">
        <v>189</v>
      </c>
      <c r="K41" s="36" t="s">
        <v>190</v>
      </c>
      <c r="L41" s="37" t="s">
        <v>191</v>
      </c>
      <c r="M41" s="34" t="s">
        <v>141</v>
      </c>
      <c r="N41" s="58" t="s">
        <v>97</v>
      </c>
      <c r="O41" s="42" t="s">
        <v>71</v>
      </c>
      <c r="P41" s="43" t="s">
        <v>72</v>
      </c>
      <c r="Q41" s="44" t="s">
        <v>63</v>
      </c>
      <c r="R41" s="45" t="s">
        <v>73</v>
      </c>
      <c r="S41" s="36" t="s">
        <v>73</v>
      </c>
    </row>
    <row r="42" ht="96" customHeight="1" spans="1:19" x14ac:dyDescent="0.25">
      <c r="A42" s="47">
        <v>14</v>
      </c>
      <c r="B42" s="48" t="s">
        <v>192</v>
      </c>
      <c r="C42" s="49" t="s">
        <v>193</v>
      </c>
      <c r="D42" s="50" t="s">
        <v>172</v>
      </c>
      <c r="E42" s="51" t="s">
        <v>79</v>
      </c>
      <c r="F42" s="52" t="s">
        <v>80</v>
      </c>
      <c r="G42" s="49" t="s">
        <v>63</v>
      </c>
      <c r="H42" s="53" t="s">
        <v>194</v>
      </c>
      <c r="I42" s="49" t="s">
        <v>195</v>
      </c>
      <c r="J42" s="49" t="s">
        <v>196</v>
      </c>
      <c r="K42" s="49" t="s">
        <v>197</v>
      </c>
      <c r="L42" s="50" t="s">
        <v>198</v>
      </c>
      <c r="M42" s="47" t="s">
        <v>141</v>
      </c>
      <c r="N42" s="54" t="s">
        <v>97</v>
      </c>
      <c r="O42" s="68" t="s">
        <v>142</v>
      </c>
      <c r="P42" s="43" t="s">
        <v>72</v>
      </c>
      <c r="Q42" s="62" t="s">
        <v>63</v>
      </c>
      <c r="R42" s="63" t="s">
        <v>73</v>
      </c>
      <c r="S42" s="49" t="s">
        <v>73</v>
      </c>
    </row>
    <row r="43" ht="96" customHeight="1" spans="1:19" x14ac:dyDescent="0.25">
      <c r="A43" s="34">
        <v>15</v>
      </c>
      <c r="B43" s="35" t="s">
        <v>199</v>
      </c>
      <c r="C43" s="36" t="s">
        <v>200</v>
      </c>
      <c r="D43" s="37" t="s">
        <v>172</v>
      </c>
      <c r="E43" s="38" t="s">
        <v>79</v>
      </c>
      <c r="F43" s="39" t="s">
        <v>80</v>
      </c>
      <c r="G43" s="36" t="s">
        <v>63</v>
      </c>
      <c r="H43" s="40" t="s">
        <v>201</v>
      </c>
      <c r="I43" s="36" t="s">
        <v>202</v>
      </c>
      <c r="J43" s="36" t="s">
        <v>203</v>
      </c>
      <c r="K43" s="36" t="s">
        <v>204</v>
      </c>
      <c r="L43" s="37" t="s">
        <v>205</v>
      </c>
      <c r="M43" s="34" t="s">
        <v>69</v>
      </c>
      <c r="N43" s="58" t="s">
        <v>97</v>
      </c>
      <c r="O43" s="61" t="s">
        <v>142</v>
      </c>
      <c r="P43" s="43" t="s">
        <v>72</v>
      </c>
      <c r="Q43" s="44" t="s">
        <v>63</v>
      </c>
      <c r="R43" s="45" t="s">
        <v>73</v>
      </c>
      <c r="S43" s="36" t="s">
        <v>73</v>
      </c>
    </row>
    <row r="44" ht="96" customHeight="1" spans="1:19" x14ac:dyDescent="0.25">
      <c r="A44" s="47">
        <v>16</v>
      </c>
      <c r="B44" s="48" t="s">
        <v>206</v>
      </c>
      <c r="C44" s="49" t="s">
        <v>207</v>
      </c>
      <c r="D44" s="50" t="s">
        <v>172</v>
      </c>
      <c r="E44" s="51" t="s">
        <v>79</v>
      </c>
      <c r="F44" s="52" t="s">
        <v>80</v>
      </c>
      <c r="G44" s="49" t="s">
        <v>63</v>
      </c>
      <c r="H44" s="53" t="s">
        <v>208</v>
      </c>
      <c r="I44" s="49" t="s">
        <v>209</v>
      </c>
      <c r="J44" s="49" t="s">
        <v>210</v>
      </c>
      <c r="K44" s="49" t="s">
        <v>211</v>
      </c>
      <c r="L44" s="50" t="s">
        <v>212</v>
      </c>
      <c r="M44" s="47" t="s">
        <v>141</v>
      </c>
      <c r="N44" s="54" t="s">
        <v>97</v>
      </c>
      <c r="O44" s="68" t="s">
        <v>142</v>
      </c>
      <c r="P44" s="43" t="s">
        <v>72</v>
      </c>
      <c r="Q44" s="62" t="s">
        <v>63</v>
      </c>
      <c r="R44" s="63" t="s">
        <v>73</v>
      </c>
      <c r="S44" s="49" t="s">
        <v>73</v>
      </c>
    </row>
    <row r="45" ht="96" customHeight="1" spans="1:19" x14ac:dyDescent="0.25">
      <c r="A45" s="34">
        <v>17</v>
      </c>
      <c r="B45" s="35" t="s">
        <v>213</v>
      </c>
      <c r="C45" s="36" t="s">
        <v>214</v>
      </c>
      <c r="D45" s="37" t="s">
        <v>172</v>
      </c>
      <c r="E45" s="38" t="s">
        <v>79</v>
      </c>
      <c r="F45" s="39" t="s">
        <v>80</v>
      </c>
      <c r="G45" s="36" t="s">
        <v>63</v>
      </c>
      <c r="H45" s="40" t="s">
        <v>215</v>
      </c>
      <c r="I45" s="36" t="s">
        <v>216</v>
      </c>
      <c r="J45" s="36" t="s">
        <v>217</v>
      </c>
      <c r="K45" s="36" t="s">
        <v>218</v>
      </c>
      <c r="L45" s="37" t="s">
        <v>219</v>
      </c>
      <c r="M45" s="34" t="s">
        <v>141</v>
      </c>
      <c r="N45" s="58" t="s">
        <v>97</v>
      </c>
      <c r="O45" s="61" t="s">
        <v>142</v>
      </c>
      <c r="P45" s="43" t="s">
        <v>72</v>
      </c>
      <c r="Q45" s="44" t="s">
        <v>63</v>
      </c>
      <c r="R45" s="45" t="s">
        <v>73</v>
      </c>
      <c r="S45" s="36" t="s">
        <v>73</v>
      </c>
    </row>
    <row r="46" ht="81" customHeight="1" spans="1:19" x14ac:dyDescent="0.25">
      <c r="A46" s="47">
        <v>18</v>
      </c>
      <c r="B46" s="48" t="s">
        <v>220</v>
      </c>
      <c r="C46" s="49" t="s">
        <v>221</v>
      </c>
      <c r="D46" s="50" t="s">
        <v>172</v>
      </c>
      <c r="E46" s="51" t="s">
        <v>79</v>
      </c>
      <c r="F46" s="52" t="s">
        <v>80</v>
      </c>
      <c r="G46" s="49" t="s">
        <v>63</v>
      </c>
      <c r="H46" s="53" t="s">
        <v>222</v>
      </c>
      <c r="I46" s="49" t="s">
        <v>223</v>
      </c>
      <c r="J46" s="49" t="s">
        <v>224</v>
      </c>
      <c r="K46" s="49" t="s">
        <v>225</v>
      </c>
      <c r="L46" s="50" t="s">
        <v>226</v>
      </c>
      <c r="M46" s="47" t="s">
        <v>141</v>
      </c>
      <c r="N46" s="54" t="s">
        <v>97</v>
      </c>
      <c r="O46" s="68" t="s">
        <v>142</v>
      </c>
      <c r="P46" s="43" t="s">
        <v>72</v>
      </c>
      <c r="Q46" s="62" t="s">
        <v>63</v>
      </c>
      <c r="R46" s="63" t="s">
        <v>73</v>
      </c>
      <c r="S46" s="49" t="s">
        <v>73</v>
      </c>
    </row>
    <row r="47" ht="111" customHeight="1" spans="1:19" x14ac:dyDescent="0.25">
      <c r="A47" s="34">
        <v>19</v>
      </c>
      <c r="B47" s="35" t="s">
        <v>227</v>
      </c>
      <c r="C47" s="36" t="s">
        <v>228</v>
      </c>
      <c r="D47" s="37" t="s">
        <v>172</v>
      </c>
      <c r="E47" s="38" t="s">
        <v>79</v>
      </c>
      <c r="F47" s="39" t="s">
        <v>80</v>
      </c>
      <c r="G47" s="36" t="s">
        <v>229</v>
      </c>
      <c r="H47" s="40" t="s">
        <v>230</v>
      </c>
      <c r="I47" s="36" t="s">
        <v>231</v>
      </c>
      <c r="J47" s="36" t="s">
        <v>232</v>
      </c>
      <c r="K47" s="36" t="s">
        <v>233</v>
      </c>
      <c r="L47" s="37" t="s">
        <v>234</v>
      </c>
      <c r="M47" s="34" t="s">
        <v>141</v>
      </c>
      <c r="N47" s="58" t="s">
        <v>97</v>
      </c>
      <c r="O47" s="42" t="s">
        <v>71</v>
      </c>
      <c r="P47" s="56" t="s">
        <v>98</v>
      </c>
      <c r="Q47" s="59" t="s">
        <v>235</v>
      </c>
      <c r="R47" s="59" t="s">
        <v>236</v>
      </c>
      <c r="S47" s="36" t="s">
        <v>73</v>
      </c>
    </row>
    <row r="48" ht="126" customHeight="1" spans="1:19" x14ac:dyDescent="0.25">
      <c r="A48" s="47">
        <v>20</v>
      </c>
      <c r="B48" s="48" t="s">
        <v>237</v>
      </c>
      <c r="C48" s="49" t="s">
        <v>238</v>
      </c>
      <c r="D48" s="50" t="s">
        <v>172</v>
      </c>
      <c r="E48" s="51" t="s">
        <v>79</v>
      </c>
      <c r="F48" s="52" t="s">
        <v>80</v>
      </c>
      <c r="G48" s="49" t="s">
        <v>239</v>
      </c>
      <c r="H48" s="53" t="s">
        <v>240</v>
      </c>
      <c r="I48" s="49" t="s">
        <v>241</v>
      </c>
      <c r="J48" s="49" t="s">
        <v>242</v>
      </c>
      <c r="K48" s="49" t="s">
        <v>243</v>
      </c>
      <c r="L48" s="50" t="s">
        <v>244</v>
      </c>
      <c r="M48" s="47" t="s">
        <v>69</v>
      </c>
      <c r="N48" s="54" t="s">
        <v>97</v>
      </c>
      <c r="O48" s="60" t="s">
        <v>71</v>
      </c>
      <c r="P48" s="56" t="s">
        <v>98</v>
      </c>
      <c r="Q48" s="57" t="s">
        <v>245</v>
      </c>
      <c r="R48" s="57" t="s">
        <v>246</v>
      </c>
      <c r="S48" s="49" t="s">
        <v>73</v>
      </c>
    </row>
    <row r="49" ht="126" customHeight="1" spans="1:19" x14ac:dyDescent="0.25">
      <c r="A49" s="34">
        <v>21</v>
      </c>
      <c r="B49" s="35" t="s">
        <v>247</v>
      </c>
      <c r="C49" s="36" t="s">
        <v>248</v>
      </c>
      <c r="D49" s="37" t="s">
        <v>249</v>
      </c>
      <c r="E49" s="38" t="s">
        <v>79</v>
      </c>
      <c r="F49" s="39" t="s">
        <v>80</v>
      </c>
      <c r="G49" s="36" t="s">
        <v>63</v>
      </c>
      <c r="H49" s="40" t="s">
        <v>173</v>
      </c>
      <c r="I49" s="36" t="s">
        <v>250</v>
      </c>
      <c r="J49" s="36" t="s">
        <v>251</v>
      </c>
      <c r="K49" s="36" t="s">
        <v>252</v>
      </c>
      <c r="L49" s="37" t="s">
        <v>253</v>
      </c>
      <c r="M49" s="34" t="s">
        <v>69</v>
      </c>
      <c r="N49" s="41" t="s">
        <v>70</v>
      </c>
      <c r="O49" s="46" t="s">
        <v>87</v>
      </c>
      <c r="P49" s="43" t="s">
        <v>72</v>
      </c>
      <c r="Q49" s="44" t="s">
        <v>63</v>
      </c>
      <c r="R49" s="45" t="s">
        <v>73</v>
      </c>
      <c r="S49" s="36" t="s">
        <v>73</v>
      </c>
    </row>
    <row r="50" ht="141" customHeight="1" spans="1:19" x14ac:dyDescent="0.25">
      <c r="A50" s="47">
        <v>22</v>
      </c>
      <c r="B50" s="48" t="s">
        <v>254</v>
      </c>
      <c r="C50" s="49" t="s">
        <v>255</v>
      </c>
      <c r="D50" s="50" t="s">
        <v>249</v>
      </c>
      <c r="E50" s="51" t="s">
        <v>79</v>
      </c>
      <c r="F50" s="52" t="s">
        <v>80</v>
      </c>
      <c r="G50" s="49" t="s">
        <v>256</v>
      </c>
      <c r="H50" s="53" t="s">
        <v>257</v>
      </c>
      <c r="I50" s="49" t="s">
        <v>258</v>
      </c>
      <c r="J50" s="49" t="s">
        <v>259</v>
      </c>
      <c r="K50" s="49" t="s">
        <v>260</v>
      </c>
      <c r="L50" s="50" t="s">
        <v>261</v>
      </c>
      <c r="M50" s="47" t="s">
        <v>90</v>
      </c>
      <c r="N50" s="67" t="s">
        <v>70</v>
      </c>
      <c r="O50" s="55" t="s">
        <v>87</v>
      </c>
      <c r="P50" s="56" t="s">
        <v>98</v>
      </c>
      <c r="Q50" s="57" t="s">
        <v>99</v>
      </c>
      <c r="R50" s="57" t="s">
        <v>100</v>
      </c>
      <c r="S50" s="49" t="s">
        <v>73</v>
      </c>
    </row>
    <row r="52" ht="28" customHeight="1" spans="1:19" x14ac:dyDescent="0.25">
      <c r="A52" s="31" t="s">
        <v>262</v>
      </c>
      <c r="B52" s="31"/>
      <c r="C52" s="31"/>
      <c r="D52" s="31"/>
      <c r="E52" s="31"/>
      <c r="F52" s="31"/>
      <c r="G52" s="31"/>
      <c r="H52" s="31"/>
      <c r="I52" s="31"/>
      <c r="J52" s="31"/>
      <c r="K52" s="31"/>
      <c r="L52" s="31"/>
      <c r="M52" s="31"/>
      <c r="N52" s="31"/>
      <c r="O52" s="31"/>
      <c r="P52" s="31"/>
      <c r="Q52" s="31"/>
      <c r="R52" s="31"/>
      <c r="S52" s="32" t="str">
        <f>HYPERLINK("#'Test Cases'!A5","↑ Summary")</f>
        <v>↑ Summary</v>
      </c>
    </row>
    <row r="53" ht="18" customHeight="1" spans="1:19" x14ac:dyDescent="0.25">
      <c r="A53" s="33" t="s">
        <v>263</v>
      </c>
      <c r="B53" s="33"/>
      <c r="C53" s="33"/>
      <c r="D53" s="33"/>
      <c r="E53" s="33"/>
      <c r="F53" s="33"/>
      <c r="G53" s="33"/>
      <c r="H53" s="33"/>
      <c r="I53" s="33"/>
      <c r="J53" s="33"/>
      <c r="K53" s="33"/>
      <c r="L53" s="33"/>
      <c r="M53" s="33"/>
      <c r="N53" s="33"/>
      <c r="O53" s="33"/>
      <c r="P53" s="33"/>
      <c r="Q53" s="33"/>
      <c r="R53" s="33"/>
      <c r="S53" s="33"/>
    </row>
    <row r="54" ht="30" customHeight="1" spans="1:19" x14ac:dyDescent="0.25">
      <c r="A54" s="11" t="s">
        <v>40</v>
      </c>
      <c r="B54" s="11" t="s">
        <v>41</v>
      </c>
      <c r="C54" s="11" t="s">
        <v>42</v>
      </c>
      <c r="D54" s="11" t="s">
        <v>43</v>
      </c>
      <c r="E54" s="11" t="s">
        <v>12</v>
      </c>
      <c r="F54" s="11" t="s">
        <v>44</v>
      </c>
      <c r="G54" s="11" t="s">
        <v>45</v>
      </c>
      <c r="H54" s="11" t="s">
        <v>46</v>
      </c>
      <c r="I54" s="11" t="s">
        <v>47</v>
      </c>
      <c r="J54" s="11" t="s">
        <v>48</v>
      </c>
      <c r="K54" s="11" t="s">
        <v>49</v>
      </c>
      <c r="L54" s="11" t="s">
        <v>50</v>
      </c>
      <c r="M54" s="11" t="s">
        <v>51</v>
      </c>
      <c r="N54" s="11" t="s">
        <v>52</v>
      </c>
      <c r="O54" s="11" t="s">
        <v>53</v>
      </c>
      <c r="P54" s="11" t="s">
        <v>54</v>
      </c>
      <c r="Q54" s="11" t="s">
        <v>55</v>
      </c>
      <c r="R54" s="11" t="s">
        <v>56</v>
      </c>
      <c r="S54" s="11" t="s">
        <v>57</v>
      </c>
    </row>
    <row r="55" ht="81" customHeight="1" spans="1:19" x14ac:dyDescent="0.25">
      <c r="A55" s="34">
        <v>1</v>
      </c>
      <c r="B55" s="35" t="s">
        <v>264</v>
      </c>
      <c r="C55" s="36" t="s">
        <v>265</v>
      </c>
      <c r="D55" s="37" t="s">
        <v>78</v>
      </c>
      <c r="E55" s="38" t="s">
        <v>266</v>
      </c>
      <c r="F55" s="39" t="s">
        <v>80</v>
      </c>
      <c r="G55" s="36" t="s">
        <v>63</v>
      </c>
      <c r="H55" s="40" t="s">
        <v>267</v>
      </c>
      <c r="I55" s="36" t="s">
        <v>268</v>
      </c>
      <c r="J55" s="36" t="s">
        <v>269</v>
      </c>
      <c r="K55" s="36" t="s">
        <v>270</v>
      </c>
      <c r="L55" s="37" t="s">
        <v>271</v>
      </c>
      <c r="M55" s="34" t="s">
        <v>86</v>
      </c>
      <c r="N55" s="41" t="s">
        <v>70</v>
      </c>
      <c r="O55" s="46" t="s">
        <v>87</v>
      </c>
      <c r="P55" s="43" t="s">
        <v>72</v>
      </c>
      <c r="Q55" s="44" t="s">
        <v>63</v>
      </c>
      <c r="R55" s="45" t="s">
        <v>73</v>
      </c>
      <c r="S55" s="36" t="s">
        <v>73</v>
      </c>
    </row>
    <row r="56" ht="126" customHeight="1" spans="1:19" x14ac:dyDescent="0.25">
      <c r="A56" s="47">
        <v>2</v>
      </c>
      <c r="B56" s="48" t="s">
        <v>272</v>
      </c>
      <c r="C56" s="49" t="s">
        <v>273</v>
      </c>
      <c r="D56" s="50" t="s">
        <v>78</v>
      </c>
      <c r="E56" s="51" t="s">
        <v>266</v>
      </c>
      <c r="F56" s="52" t="s">
        <v>80</v>
      </c>
      <c r="G56" s="49" t="s">
        <v>63</v>
      </c>
      <c r="H56" s="53" t="s">
        <v>274</v>
      </c>
      <c r="I56" s="49" t="s">
        <v>275</v>
      </c>
      <c r="J56" s="49" t="s">
        <v>276</v>
      </c>
      <c r="K56" s="49" t="s">
        <v>277</v>
      </c>
      <c r="L56" s="50" t="s">
        <v>278</v>
      </c>
      <c r="M56" s="47" t="s">
        <v>86</v>
      </c>
      <c r="N56" s="54" t="s">
        <v>97</v>
      </c>
      <c r="O56" s="60" t="s">
        <v>71</v>
      </c>
      <c r="P56" s="43" t="s">
        <v>72</v>
      </c>
      <c r="Q56" s="62" t="s">
        <v>63</v>
      </c>
      <c r="R56" s="63" t="s">
        <v>73</v>
      </c>
      <c r="S56" s="49" t="s">
        <v>73</v>
      </c>
    </row>
    <row r="57" ht="66" customHeight="1" spans="1:19" x14ac:dyDescent="0.25">
      <c r="A57" s="34">
        <v>3</v>
      </c>
      <c r="B57" s="35" t="s">
        <v>279</v>
      </c>
      <c r="C57" s="36" t="s">
        <v>280</v>
      </c>
      <c r="D57" s="37" t="s">
        <v>78</v>
      </c>
      <c r="E57" s="38" t="s">
        <v>266</v>
      </c>
      <c r="F57" s="39" t="s">
        <v>80</v>
      </c>
      <c r="G57" s="36" t="s">
        <v>281</v>
      </c>
      <c r="H57" s="40" t="s">
        <v>282</v>
      </c>
      <c r="I57" s="36" t="s">
        <v>283</v>
      </c>
      <c r="J57" s="36" t="s">
        <v>284</v>
      </c>
      <c r="K57" s="36" t="s">
        <v>285</v>
      </c>
      <c r="L57" s="37" t="s">
        <v>286</v>
      </c>
      <c r="M57" s="34" t="s">
        <v>86</v>
      </c>
      <c r="N57" s="58" t="s">
        <v>97</v>
      </c>
      <c r="O57" s="42" t="s">
        <v>71</v>
      </c>
      <c r="P57" s="56" t="s">
        <v>98</v>
      </c>
      <c r="Q57" s="59" t="s">
        <v>287</v>
      </c>
      <c r="R57" s="59" t="s">
        <v>288</v>
      </c>
      <c r="S57" s="36" t="s">
        <v>73</v>
      </c>
    </row>
    <row r="58" ht="96" customHeight="1" spans="1:19" x14ac:dyDescent="0.25">
      <c r="A58" s="47">
        <v>4</v>
      </c>
      <c r="B58" s="48" t="s">
        <v>289</v>
      </c>
      <c r="C58" s="49" t="s">
        <v>290</v>
      </c>
      <c r="D58" s="50" t="s">
        <v>291</v>
      </c>
      <c r="E58" s="51" t="s">
        <v>266</v>
      </c>
      <c r="F58" s="52" t="s">
        <v>80</v>
      </c>
      <c r="G58" s="49" t="s">
        <v>63</v>
      </c>
      <c r="H58" s="53" t="s">
        <v>292</v>
      </c>
      <c r="I58" s="49" t="s">
        <v>293</v>
      </c>
      <c r="J58" s="49" t="s">
        <v>294</v>
      </c>
      <c r="K58" s="49" t="s">
        <v>295</v>
      </c>
      <c r="L58" s="50" t="s">
        <v>296</v>
      </c>
      <c r="M58" s="47" t="s">
        <v>69</v>
      </c>
      <c r="N58" s="67" t="s">
        <v>70</v>
      </c>
      <c r="O58" s="55" t="s">
        <v>87</v>
      </c>
      <c r="P58" s="43" t="s">
        <v>72</v>
      </c>
      <c r="Q58" s="62" t="s">
        <v>63</v>
      </c>
      <c r="R58" s="63" t="s">
        <v>73</v>
      </c>
      <c r="S58" s="49" t="s">
        <v>73</v>
      </c>
    </row>
    <row r="59" ht="96" customHeight="1" spans="1:19" x14ac:dyDescent="0.25">
      <c r="A59" s="34">
        <v>5</v>
      </c>
      <c r="B59" s="35" t="s">
        <v>297</v>
      </c>
      <c r="C59" s="36" t="s">
        <v>298</v>
      </c>
      <c r="D59" s="37" t="s">
        <v>291</v>
      </c>
      <c r="E59" s="38" t="s">
        <v>266</v>
      </c>
      <c r="F59" s="39" t="s">
        <v>80</v>
      </c>
      <c r="G59" s="36" t="s">
        <v>299</v>
      </c>
      <c r="H59" s="40" t="s">
        <v>300</v>
      </c>
      <c r="I59" s="36" t="s">
        <v>301</v>
      </c>
      <c r="J59" s="36" t="s">
        <v>302</v>
      </c>
      <c r="K59" s="36" t="s">
        <v>303</v>
      </c>
      <c r="L59" s="37" t="s">
        <v>304</v>
      </c>
      <c r="M59" s="34" t="s">
        <v>69</v>
      </c>
      <c r="N59" s="58" t="s">
        <v>97</v>
      </c>
      <c r="O59" s="61" t="s">
        <v>142</v>
      </c>
      <c r="P59" s="56" t="s">
        <v>98</v>
      </c>
      <c r="Q59" s="59" t="s">
        <v>305</v>
      </c>
      <c r="R59" s="59" t="s">
        <v>306</v>
      </c>
      <c r="S59" s="36" t="s">
        <v>73</v>
      </c>
    </row>
    <row r="60" ht="96" customHeight="1" spans="1:19" x14ac:dyDescent="0.25">
      <c r="A60" s="47">
        <v>6</v>
      </c>
      <c r="B60" s="48" t="s">
        <v>307</v>
      </c>
      <c r="C60" s="49" t="s">
        <v>308</v>
      </c>
      <c r="D60" s="50" t="s">
        <v>291</v>
      </c>
      <c r="E60" s="51" t="s">
        <v>266</v>
      </c>
      <c r="F60" s="52" t="s">
        <v>80</v>
      </c>
      <c r="G60" s="49" t="s">
        <v>63</v>
      </c>
      <c r="H60" s="53" t="s">
        <v>309</v>
      </c>
      <c r="I60" s="49" t="s">
        <v>310</v>
      </c>
      <c r="J60" s="49" t="s">
        <v>311</v>
      </c>
      <c r="K60" s="49" t="s">
        <v>312</v>
      </c>
      <c r="L60" s="50" t="s">
        <v>313</v>
      </c>
      <c r="M60" s="47" t="s">
        <v>141</v>
      </c>
      <c r="N60" s="54" t="s">
        <v>97</v>
      </c>
      <c r="O60" s="60" t="s">
        <v>71</v>
      </c>
      <c r="P60" s="43" t="s">
        <v>72</v>
      </c>
      <c r="Q60" s="62" t="s">
        <v>63</v>
      </c>
      <c r="R60" s="63" t="s">
        <v>73</v>
      </c>
      <c r="S60" s="49" t="s">
        <v>73</v>
      </c>
    </row>
    <row r="61" ht="96" customHeight="1" spans="1:19" x14ac:dyDescent="0.25">
      <c r="A61" s="34">
        <v>7</v>
      </c>
      <c r="B61" s="35" t="s">
        <v>314</v>
      </c>
      <c r="C61" s="36" t="s">
        <v>315</v>
      </c>
      <c r="D61" s="37" t="s">
        <v>291</v>
      </c>
      <c r="E61" s="38" t="s">
        <v>266</v>
      </c>
      <c r="F61" s="39" t="s">
        <v>80</v>
      </c>
      <c r="G61" s="36" t="s">
        <v>63</v>
      </c>
      <c r="H61" s="40" t="s">
        <v>316</v>
      </c>
      <c r="I61" s="36" t="s">
        <v>317</v>
      </c>
      <c r="J61" s="36" t="s">
        <v>318</v>
      </c>
      <c r="K61" s="36" t="s">
        <v>319</v>
      </c>
      <c r="L61" s="37" t="s">
        <v>320</v>
      </c>
      <c r="M61" s="34" t="s">
        <v>141</v>
      </c>
      <c r="N61" s="58" t="s">
        <v>97</v>
      </c>
      <c r="O61" s="61" t="s">
        <v>142</v>
      </c>
      <c r="P61" s="43" t="s">
        <v>72</v>
      </c>
      <c r="Q61" s="44" t="s">
        <v>63</v>
      </c>
      <c r="R61" s="45" t="s">
        <v>73</v>
      </c>
      <c r="S61" s="36" t="s">
        <v>73</v>
      </c>
    </row>
    <row r="62" ht="96" customHeight="1" spans="1:19" x14ac:dyDescent="0.25">
      <c r="A62" s="47">
        <v>8</v>
      </c>
      <c r="B62" s="48" t="s">
        <v>321</v>
      </c>
      <c r="C62" s="49" t="s">
        <v>322</v>
      </c>
      <c r="D62" s="50" t="s">
        <v>291</v>
      </c>
      <c r="E62" s="51" t="s">
        <v>266</v>
      </c>
      <c r="F62" s="52" t="s">
        <v>80</v>
      </c>
      <c r="G62" s="49" t="s">
        <v>63</v>
      </c>
      <c r="H62" s="53" t="s">
        <v>323</v>
      </c>
      <c r="I62" s="49" t="s">
        <v>324</v>
      </c>
      <c r="J62" s="49" t="s">
        <v>325</v>
      </c>
      <c r="K62" s="49" t="s">
        <v>225</v>
      </c>
      <c r="L62" s="50" t="s">
        <v>326</v>
      </c>
      <c r="M62" s="47" t="s">
        <v>141</v>
      </c>
      <c r="N62" s="54" t="s">
        <v>97</v>
      </c>
      <c r="O62" s="68" t="s">
        <v>142</v>
      </c>
      <c r="P62" s="43" t="s">
        <v>72</v>
      </c>
      <c r="Q62" s="62" t="s">
        <v>63</v>
      </c>
      <c r="R62" s="63" t="s">
        <v>73</v>
      </c>
      <c r="S62" s="49" t="s">
        <v>73</v>
      </c>
    </row>
    <row r="63" ht="96" customHeight="1" spans="1:19" x14ac:dyDescent="0.25">
      <c r="A63" s="34">
        <v>9</v>
      </c>
      <c r="B63" s="35" t="s">
        <v>327</v>
      </c>
      <c r="C63" s="36" t="s">
        <v>328</v>
      </c>
      <c r="D63" s="37" t="s">
        <v>147</v>
      </c>
      <c r="E63" s="38" t="s">
        <v>266</v>
      </c>
      <c r="F63" s="39" t="s">
        <v>80</v>
      </c>
      <c r="G63" s="36" t="s">
        <v>329</v>
      </c>
      <c r="H63" s="40" t="s">
        <v>330</v>
      </c>
      <c r="I63" s="36" t="s">
        <v>331</v>
      </c>
      <c r="J63" s="36" t="s">
        <v>332</v>
      </c>
      <c r="K63" s="36" t="s">
        <v>333</v>
      </c>
      <c r="L63" s="37" t="s">
        <v>334</v>
      </c>
      <c r="M63" s="34" t="s">
        <v>86</v>
      </c>
      <c r="N63" s="58" t="s">
        <v>97</v>
      </c>
      <c r="O63" s="46" t="s">
        <v>87</v>
      </c>
      <c r="P63" s="56" t="s">
        <v>98</v>
      </c>
      <c r="Q63" s="59" t="s">
        <v>335</v>
      </c>
      <c r="R63" s="59" t="s">
        <v>336</v>
      </c>
      <c r="S63" s="36" t="s">
        <v>73</v>
      </c>
    </row>
    <row r="64" ht="111" customHeight="1" spans="1:19" x14ac:dyDescent="0.25">
      <c r="A64" s="47">
        <v>10</v>
      </c>
      <c r="B64" s="48" t="s">
        <v>337</v>
      </c>
      <c r="C64" s="49" t="s">
        <v>338</v>
      </c>
      <c r="D64" s="50" t="s">
        <v>249</v>
      </c>
      <c r="E64" s="51" t="s">
        <v>266</v>
      </c>
      <c r="F64" s="52" t="s">
        <v>80</v>
      </c>
      <c r="G64" s="49" t="s">
        <v>63</v>
      </c>
      <c r="H64" s="53" t="s">
        <v>118</v>
      </c>
      <c r="I64" s="49" t="s">
        <v>339</v>
      </c>
      <c r="J64" s="49" t="s">
        <v>340</v>
      </c>
      <c r="K64" s="49" t="s">
        <v>341</v>
      </c>
      <c r="L64" s="50" t="s">
        <v>342</v>
      </c>
      <c r="M64" s="47" t="s">
        <v>69</v>
      </c>
      <c r="N64" s="67" t="s">
        <v>70</v>
      </c>
      <c r="O64" s="55" t="s">
        <v>87</v>
      </c>
      <c r="P64" s="43" t="s">
        <v>72</v>
      </c>
      <c r="Q64" s="62" t="s">
        <v>63</v>
      </c>
      <c r="R64" s="63" t="s">
        <v>73</v>
      </c>
      <c r="S64" s="49" t="s">
        <v>73</v>
      </c>
    </row>
    <row r="66" ht="28" customHeight="1" spans="1:19" x14ac:dyDescent="0.25">
      <c r="A66" s="31" t="s">
        <v>343</v>
      </c>
      <c r="B66" s="31"/>
      <c r="C66" s="31"/>
      <c r="D66" s="31"/>
      <c r="E66" s="31"/>
      <c r="F66" s="31"/>
      <c r="G66" s="31"/>
      <c r="H66" s="31"/>
      <c r="I66" s="31"/>
      <c r="J66" s="31"/>
      <c r="K66" s="31"/>
      <c r="L66" s="31"/>
      <c r="M66" s="31"/>
      <c r="N66" s="31"/>
      <c r="O66" s="31"/>
      <c r="P66" s="31"/>
      <c r="Q66" s="31"/>
      <c r="R66" s="31"/>
      <c r="S66" s="32" t="str">
        <f>HYPERLINK("#'Test Cases'!A5","↑ Summary")</f>
        <v>↑ Summary</v>
      </c>
    </row>
    <row r="67" ht="18" customHeight="1" spans="1:19" x14ac:dyDescent="0.25">
      <c r="A67" s="33" t="s">
        <v>344</v>
      </c>
      <c r="B67" s="33"/>
      <c r="C67" s="33"/>
      <c r="D67" s="33"/>
      <c r="E67" s="33"/>
      <c r="F67" s="33"/>
      <c r="G67" s="33"/>
      <c r="H67" s="33"/>
      <c r="I67" s="33"/>
      <c r="J67" s="33"/>
      <c r="K67" s="33"/>
      <c r="L67" s="33"/>
      <c r="M67" s="33"/>
      <c r="N67" s="33"/>
      <c r="O67" s="33"/>
      <c r="P67" s="33"/>
      <c r="Q67" s="33"/>
      <c r="R67" s="33"/>
      <c r="S67" s="33"/>
    </row>
    <row r="68" ht="30" customHeight="1" spans="1:19" x14ac:dyDescent="0.25">
      <c r="A68" s="11" t="s">
        <v>40</v>
      </c>
      <c r="B68" s="11" t="s">
        <v>41</v>
      </c>
      <c r="C68" s="11" t="s">
        <v>42</v>
      </c>
      <c r="D68" s="11" t="s">
        <v>43</v>
      </c>
      <c r="E68" s="11" t="s">
        <v>12</v>
      </c>
      <c r="F68" s="11" t="s">
        <v>44</v>
      </c>
      <c r="G68" s="11" t="s">
        <v>45</v>
      </c>
      <c r="H68" s="11" t="s">
        <v>46</v>
      </c>
      <c r="I68" s="11" t="s">
        <v>47</v>
      </c>
      <c r="J68" s="11" t="s">
        <v>48</v>
      </c>
      <c r="K68" s="11" t="s">
        <v>49</v>
      </c>
      <c r="L68" s="11" t="s">
        <v>50</v>
      </c>
      <c r="M68" s="11" t="s">
        <v>51</v>
      </c>
      <c r="N68" s="11" t="s">
        <v>52</v>
      </c>
      <c r="O68" s="11" t="s">
        <v>53</v>
      </c>
      <c r="P68" s="11" t="s">
        <v>54</v>
      </c>
      <c r="Q68" s="11" t="s">
        <v>55</v>
      </c>
      <c r="R68" s="11" t="s">
        <v>56</v>
      </c>
      <c r="S68" s="11" t="s">
        <v>57</v>
      </c>
    </row>
    <row r="69" ht="111" customHeight="1" spans="1:19" x14ac:dyDescent="0.25">
      <c r="A69" s="34">
        <v>1</v>
      </c>
      <c r="B69" s="35" t="s">
        <v>345</v>
      </c>
      <c r="C69" s="36" t="s">
        <v>346</v>
      </c>
      <c r="D69" s="37" t="s">
        <v>347</v>
      </c>
      <c r="E69" s="38" t="s">
        <v>348</v>
      </c>
      <c r="F69" s="39" t="s">
        <v>80</v>
      </c>
      <c r="G69" s="36" t="s">
        <v>349</v>
      </c>
      <c r="H69" s="40" t="s">
        <v>350</v>
      </c>
      <c r="I69" s="36" t="s">
        <v>351</v>
      </c>
      <c r="J69" s="36" t="s">
        <v>352</v>
      </c>
      <c r="K69" s="36" t="s">
        <v>353</v>
      </c>
      <c r="L69" s="37" t="s">
        <v>354</v>
      </c>
      <c r="M69" s="34" t="s">
        <v>69</v>
      </c>
      <c r="N69" s="58" t="s">
        <v>97</v>
      </c>
      <c r="O69" s="42" t="s">
        <v>71</v>
      </c>
      <c r="P69" s="56" t="s">
        <v>98</v>
      </c>
      <c r="Q69" s="59" t="s">
        <v>355</v>
      </c>
      <c r="R69" s="59" t="s">
        <v>356</v>
      </c>
      <c r="S69" s="36" t="s">
        <v>73</v>
      </c>
    </row>
    <row r="70" ht="111" customHeight="1" spans="1:19" x14ac:dyDescent="0.25">
      <c r="A70" s="47">
        <v>2</v>
      </c>
      <c r="B70" s="48" t="s">
        <v>357</v>
      </c>
      <c r="C70" s="49" t="s">
        <v>358</v>
      </c>
      <c r="D70" s="50" t="s">
        <v>347</v>
      </c>
      <c r="E70" s="51" t="s">
        <v>348</v>
      </c>
      <c r="F70" s="52" t="s">
        <v>80</v>
      </c>
      <c r="G70" s="49" t="s">
        <v>349</v>
      </c>
      <c r="H70" s="53" t="s">
        <v>359</v>
      </c>
      <c r="I70" s="49" t="s">
        <v>360</v>
      </c>
      <c r="J70" s="49" t="s">
        <v>361</v>
      </c>
      <c r="K70" s="49" t="s">
        <v>362</v>
      </c>
      <c r="L70" s="50" t="s">
        <v>363</v>
      </c>
      <c r="M70" s="47" t="s">
        <v>69</v>
      </c>
      <c r="N70" s="54" t="s">
        <v>97</v>
      </c>
      <c r="O70" s="68" t="s">
        <v>142</v>
      </c>
      <c r="P70" s="56" t="s">
        <v>98</v>
      </c>
      <c r="Q70" s="57" t="s">
        <v>364</v>
      </c>
      <c r="R70" s="57" t="s">
        <v>365</v>
      </c>
      <c r="S70" s="49" t="s">
        <v>73</v>
      </c>
    </row>
    <row r="71" ht="111" customHeight="1" spans="1:19" x14ac:dyDescent="0.25">
      <c r="A71" s="34">
        <v>3</v>
      </c>
      <c r="B71" s="35" t="s">
        <v>366</v>
      </c>
      <c r="C71" s="36" t="s">
        <v>367</v>
      </c>
      <c r="D71" s="37" t="s">
        <v>347</v>
      </c>
      <c r="E71" s="38" t="s">
        <v>348</v>
      </c>
      <c r="F71" s="39" t="s">
        <v>80</v>
      </c>
      <c r="G71" s="36" t="s">
        <v>349</v>
      </c>
      <c r="H71" s="40" t="s">
        <v>368</v>
      </c>
      <c r="I71" s="36" t="s">
        <v>369</v>
      </c>
      <c r="J71" s="36" t="s">
        <v>370</v>
      </c>
      <c r="K71" s="36" t="s">
        <v>371</v>
      </c>
      <c r="L71" s="37" t="s">
        <v>372</v>
      </c>
      <c r="M71" s="34" t="s">
        <v>69</v>
      </c>
      <c r="N71" s="58" t="s">
        <v>97</v>
      </c>
      <c r="O71" s="61" t="s">
        <v>142</v>
      </c>
      <c r="P71" s="56" t="s">
        <v>98</v>
      </c>
      <c r="Q71" s="59" t="s">
        <v>373</v>
      </c>
      <c r="R71" s="59" t="s">
        <v>374</v>
      </c>
      <c r="S71" s="36" t="s">
        <v>73</v>
      </c>
    </row>
    <row r="72" ht="111" customHeight="1" spans="1:19" x14ac:dyDescent="0.25">
      <c r="A72" s="47">
        <v>4</v>
      </c>
      <c r="B72" s="48" t="s">
        <v>375</v>
      </c>
      <c r="C72" s="49" t="s">
        <v>376</v>
      </c>
      <c r="D72" s="50" t="s">
        <v>347</v>
      </c>
      <c r="E72" s="51" t="s">
        <v>348</v>
      </c>
      <c r="F72" s="52" t="s">
        <v>80</v>
      </c>
      <c r="G72" s="49" t="s">
        <v>63</v>
      </c>
      <c r="H72" s="53" t="s">
        <v>377</v>
      </c>
      <c r="I72" s="49" t="s">
        <v>378</v>
      </c>
      <c r="J72" s="49" t="s">
        <v>379</v>
      </c>
      <c r="K72" s="49" t="s">
        <v>380</v>
      </c>
      <c r="L72" s="50" t="s">
        <v>381</v>
      </c>
      <c r="M72" s="47" t="s">
        <v>141</v>
      </c>
      <c r="N72" s="54" t="s">
        <v>97</v>
      </c>
      <c r="O72" s="68" t="s">
        <v>142</v>
      </c>
      <c r="P72" s="43" t="s">
        <v>72</v>
      </c>
      <c r="Q72" s="62" t="s">
        <v>63</v>
      </c>
      <c r="R72" s="63" t="s">
        <v>73</v>
      </c>
      <c r="S72" s="49" t="s">
        <v>73</v>
      </c>
    </row>
    <row r="73" ht="156" customHeight="1" spans="1:19" x14ac:dyDescent="0.25">
      <c r="A73" s="34">
        <v>5</v>
      </c>
      <c r="B73" s="35" t="s">
        <v>382</v>
      </c>
      <c r="C73" s="36" t="s">
        <v>383</v>
      </c>
      <c r="D73" s="37" t="s">
        <v>347</v>
      </c>
      <c r="E73" s="38" t="s">
        <v>348</v>
      </c>
      <c r="F73" s="39" t="s">
        <v>80</v>
      </c>
      <c r="G73" s="36" t="s">
        <v>384</v>
      </c>
      <c r="H73" s="40" t="s">
        <v>385</v>
      </c>
      <c r="I73" s="36" t="s">
        <v>386</v>
      </c>
      <c r="J73" s="36" t="s">
        <v>387</v>
      </c>
      <c r="K73" s="36" t="s">
        <v>388</v>
      </c>
      <c r="L73" s="37" t="s">
        <v>389</v>
      </c>
      <c r="M73" s="34" t="s">
        <v>141</v>
      </c>
      <c r="N73" s="58" t="s">
        <v>97</v>
      </c>
      <c r="O73" s="61" t="s">
        <v>142</v>
      </c>
      <c r="P73" s="56" t="s">
        <v>98</v>
      </c>
      <c r="Q73" s="59" t="s">
        <v>390</v>
      </c>
      <c r="R73" s="59" t="s">
        <v>391</v>
      </c>
      <c r="S73" s="36" t="s">
        <v>73</v>
      </c>
    </row>
    <row r="75" ht="28" customHeight="1" spans="1:19" x14ac:dyDescent="0.25">
      <c r="A75" s="31" t="s">
        <v>392</v>
      </c>
      <c r="B75" s="31"/>
      <c r="C75" s="31"/>
      <c r="D75" s="31"/>
      <c r="E75" s="31"/>
      <c r="F75" s="31"/>
      <c r="G75" s="31"/>
      <c r="H75" s="31"/>
      <c r="I75" s="31"/>
      <c r="J75" s="31"/>
      <c r="K75" s="31"/>
      <c r="L75" s="31"/>
      <c r="M75" s="31"/>
      <c r="N75" s="31"/>
      <c r="O75" s="31"/>
      <c r="P75" s="31"/>
      <c r="Q75" s="31"/>
      <c r="R75" s="31"/>
      <c r="S75" s="32" t="str">
        <f>HYPERLINK("#'Test Cases'!A5","↑ Summary")</f>
        <v>↑ Summary</v>
      </c>
    </row>
    <row r="76" ht="18" customHeight="1" spans="1:19" x14ac:dyDescent="0.25">
      <c r="A76" s="33" t="s">
        <v>393</v>
      </c>
      <c r="B76" s="33"/>
      <c r="C76" s="33"/>
      <c r="D76" s="33"/>
      <c r="E76" s="33"/>
      <c r="F76" s="33"/>
      <c r="G76" s="33"/>
      <c r="H76" s="33"/>
      <c r="I76" s="33"/>
      <c r="J76" s="33"/>
      <c r="K76" s="33"/>
      <c r="L76" s="33"/>
      <c r="M76" s="33"/>
      <c r="N76" s="33"/>
      <c r="O76" s="33"/>
      <c r="P76" s="33"/>
      <c r="Q76" s="33"/>
      <c r="R76" s="33"/>
      <c r="S76" s="33"/>
    </row>
    <row r="77" ht="30" customHeight="1" spans="1:19" x14ac:dyDescent="0.25">
      <c r="A77" s="11" t="s">
        <v>40</v>
      </c>
      <c r="B77" s="11" t="s">
        <v>41</v>
      </c>
      <c r="C77" s="11" t="s">
        <v>42</v>
      </c>
      <c r="D77" s="11" t="s">
        <v>43</v>
      </c>
      <c r="E77" s="11" t="s">
        <v>12</v>
      </c>
      <c r="F77" s="11" t="s">
        <v>44</v>
      </c>
      <c r="G77" s="11" t="s">
        <v>45</v>
      </c>
      <c r="H77" s="11" t="s">
        <v>46</v>
      </c>
      <c r="I77" s="11" t="s">
        <v>47</v>
      </c>
      <c r="J77" s="11" t="s">
        <v>48</v>
      </c>
      <c r="K77" s="11" t="s">
        <v>49</v>
      </c>
      <c r="L77" s="11" t="s">
        <v>50</v>
      </c>
      <c r="M77" s="11" t="s">
        <v>51</v>
      </c>
      <c r="N77" s="11" t="s">
        <v>52</v>
      </c>
      <c r="O77" s="11" t="s">
        <v>53</v>
      </c>
      <c r="P77" s="11" t="s">
        <v>54</v>
      </c>
      <c r="Q77" s="11" t="s">
        <v>55</v>
      </c>
      <c r="R77" s="11" t="s">
        <v>56</v>
      </c>
      <c r="S77" s="11" t="s">
        <v>57</v>
      </c>
    </row>
    <row r="78" ht="111" customHeight="1" spans="1:19" x14ac:dyDescent="0.25">
      <c r="A78" s="34">
        <v>1</v>
      </c>
      <c r="B78" s="35" t="s">
        <v>394</v>
      </c>
      <c r="C78" s="36" t="s">
        <v>395</v>
      </c>
      <c r="D78" s="37" t="s">
        <v>396</v>
      </c>
      <c r="E78" s="38" t="s">
        <v>397</v>
      </c>
      <c r="F78" s="39" t="s">
        <v>80</v>
      </c>
      <c r="G78" s="36" t="s">
        <v>63</v>
      </c>
      <c r="H78" s="40" t="s">
        <v>398</v>
      </c>
      <c r="I78" s="36" t="s">
        <v>399</v>
      </c>
      <c r="J78" s="36" t="s">
        <v>400</v>
      </c>
      <c r="K78" s="36" t="s">
        <v>401</v>
      </c>
      <c r="L78" s="37" t="s">
        <v>402</v>
      </c>
      <c r="M78" s="34" t="s">
        <v>69</v>
      </c>
      <c r="N78" s="41" t="s">
        <v>70</v>
      </c>
      <c r="O78" s="42" t="s">
        <v>71</v>
      </c>
      <c r="P78" s="43" t="s">
        <v>72</v>
      </c>
      <c r="Q78" s="44" t="s">
        <v>63</v>
      </c>
      <c r="R78" s="45" t="s">
        <v>73</v>
      </c>
      <c r="S78" s="36" t="s">
        <v>73</v>
      </c>
    </row>
    <row r="79" ht="81" customHeight="1" spans="1:19" x14ac:dyDescent="0.25">
      <c r="A79" s="47">
        <v>2</v>
      </c>
      <c r="B79" s="48" t="s">
        <v>403</v>
      </c>
      <c r="C79" s="49" t="s">
        <v>404</v>
      </c>
      <c r="D79" s="50" t="s">
        <v>396</v>
      </c>
      <c r="E79" s="51" t="s">
        <v>397</v>
      </c>
      <c r="F79" s="52" t="s">
        <v>80</v>
      </c>
      <c r="G79" s="49" t="s">
        <v>63</v>
      </c>
      <c r="H79" s="53" t="s">
        <v>405</v>
      </c>
      <c r="I79" s="49" t="s">
        <v>406</v>
      </c>
      <c r="J79" s="49" t="s">
        <v>407</v>
      </c>
      <c r="K79" s="49" t="s">
        <v>408</v>
      </c>
      <c r="L79" s="50" t="s">
        <v>409</v>
      </c>
      <c r="M79" s="47" t="s">
        <v>141</v>
      </c>
      <c r="N79" s="54" t="s">
        <v>97</v>
      </c>
      <c r="O79" s="68" t="s">
        <v>142</v>
      </c>
      <c r="P79" s="43" t="s">
        <v>72</v>
      </c>
      <c r="Q79" s="62" t="s">
        <v>63</v>
      </c>
      <c r="R79" s="63" t="s">
        <v>73</v>
      </c>
      <c r="S79" s="49" t="s">
        <v>73</v>
      </c>
    </row>
    <row r="80" ht="141" customHeight="1" spans="1:19" x14ac:dyDescent="0.25">
      <c r="A80" s="34">
        <v>3</v>
      </c>
      <c r="B80" s="35" t="s">
        <v>410</v>
      </c>
      <c r="C80" s="36" t="s">
        <v>411</v>
      </c>
      <c r="D80" s="37" t="s">
        <v>396</v>
      </c>
      <c r="E80" s="38" t="s">
        <v>397</v>
      </c>
      <c r="F80" s="39" t="s">
        <v>80</v>
      </c>
      <c r="G80" s="36" t="s">
        <v>63</v>
      </c>
      <c r="H80" s="40" t="s">
        <v>412</v>
      </c>
      <c r="I80" s="36" t="s">
        <v>413</v>
      </c>
      <c r="J80" s="36" t="s">
        <v>414</v>
      </c>
      <c r="K80" s="36" t="s">
        <v>415</v>
      </c>
      <c r="L80" s="37" t="s">
        <v>416</v>
      </c>
      <c r="M80" s="34" t="s">
        <v>141</v>
      </c>
      <c r="N80" s="58" t="s">
        <v>97</v>
      </c>
      <c r="O80" s="61" t="s">
        <v>142</v>
      </c>
      <c r="P80" s="43" t="s">
        <v>72</v>
      </c>
      <c r="Q80" s="44" t="s">
        <v>63</v>
      </c>
      <c r="R80" s="45" t="s">
        <v>73</v>
      </c>
      <c r="S80" s="36" t="s">
        <v>73</v>
      </c>
    </row>
    <row r="81" ht="111" customHeight="1" spans="1:19" x14ac:dyDescent="0.25">
      <c r="A81" s="47">
        <v>4</v>
      </c>
      <c r="B81" s="48" t="s">
        <v>417</v>
      </c>
      <c r="C81" s="49" t="s">
        <v>418</v>
      </c>
      <c r="D81" s="50" t="s">
        <v>396</v>
      </c>
      <c r="E81" s="51" t="s">
        <v>397</v>
      </c>
      <c r="F81" s="52" t="s">
        <v>80</v>
      </c>
      <c r="G81" s="49" t="s">
        <v>63</v>
      </c>
      <c r="H81" s="53" t="s">
        <v>419</v>
      </c>
      <c r="I81" s="49" t="s">
        <v>420</v>
      </c>
      <c r="J81" s="49" t="s">
        <v>421</v>
      </c>
      <c r="K81" s="49" t="s">
        <v>422</v>
      </c>
      <c r="L81" s="50" t="s">
        <v>423</v>
      </c>
      <c r="M81" s="47" t="s">
        <v>69</v>
      </c>
      <c r="N81" s="54" t="s">
        <v>97</v>
      </c>
      <c r="O81" s="69" t="s">
        <v>424</v>
      </c>
      <c r="P81" s="43" t="s">
        <v>72</v>
      </c>
      <c r="Q81" s="62" t="s">
        <v>63</v>
      </c>
      <c r="R81" s="63" t="s">
        <v>73</v>
      </c>
      <c r="S81" s="49" t="s">
        <v>73</v>
      </c>
    </row>
    <row r="82" ht="81" customHeight="1" spans="1:19" x14ac:dyDescent="0.25">
      <c r="A82" s="34">
        <v>5</v>
      </c>
      <c r="B82" s="35" t="s">
        <v>425</v>
      </c>
      <c r="C82" s="36" t="s">
        <v>426</v>
      </c>
      <c r="D82" s="37" t="s">
        <v>396</v>
      </c>
      <c r="E82" s="38" t="s">
        <v>397</v>
      </c>
      <c r="F82" s="39" t="s">
        <v>80</v>
      </c>
      <c r="G82" s="36" t="s">
        <v>63</v>
      </c>
      <c r="H82" s="40" t="s">
        <v>427</v>
      </c>
      <c r="I82" s="36" t="s">
        <v>428</v>
      </c>
      <c r="J82" s="36" t="s">
        <v>429</v>
      </c>
      <c r="K82" s="36" t="s">
        <v>430</v>
      </c>
      <c r="L82" s="37" t="s">
        <v>431</v>
      </c>
      <c r="M82" s="34" t="s">
        <v>141</v>
      </c>
      <c r="N82" s="58" t="s">
        <v>97</v>
      </c>
      <c r="O82" s="61" t="s">
        <v>142</v>
      </c>
      <c r="P82" s="43" t="s">
        <v>72</v>
      </c>
      <c r="Q82" s="44" t="s">
        <v>63</v>
      </c>
      <c r="R82" s="45" t="s">
        <v>73</v>
      </c>
      <c r="S82" s="36" t="s">
        <v>73</v>
      </c>
    </row>
    <row r="83" ht="96" customHeight="1" spans="1:19" x14ac:dyDescent="0.25">
      <c r="A83" s="47">
        <v>6</v>
      </c>
      <c r="B83" s="48" t="s">
        <v>432</v>
      </c>
      <c r="C83" s="49" t="s">
        <v>433</v>
      </c>
      <c r="D83" s="50" t="s">
        <v>396</v>
      </c>
      <c r="E83" s="51" t="s">
        <v>397</v>
      </c>
      <c r="F83" s="52" t="s">
        <v>80</v>
      </c>
      <c r="G83" s="49" t="s">
        <v>63</v>
      </c>
      <c r="H83" s="53" t="s">
        <v>434</v>
      </c>
      <c r="I83" s="49" t="s">
        <v>435</v>
      </c>
      <c r="J83" s="49" t="s">
        <v>436</v>
      </c>
      <c r="K83" s="49" t="s">
        <v>225</v>
      </c>
      <c r="L83" s="50" t="s">
        <v>437</v>
      </c>
      <c r="M83" s="47" t="s">
        <v>141</v>
      </c>
      <c r="N83" s="54" t="s">
        <v>97</v>
      </c>
      <c r="O83" s="68" t="s">
        <v>142</v>
      </c>
      <c r="P83" s="43" t="s">
        <v>72</v>
      </c>
      <c r="Q83" s="62" t="s">
        <v>63</v>
      </c>
      <c r="R83" s="63" t="s">
        <v>73</v>
      </c>
      <c r="S83" s="49" t="s">
        <v>73</v>
      </c>
    </row>
    <row r="85" ht="28" customHeight="1" spans="1:19" x14ac:dyDescent="0.25">
      <c r="A85" s="31" t="s">
        <v>438</v>
      </c>
      <c r="B85" s="31"/>
      <c r="C85" s="31"/>
      <c r="D85" s="31"/>
      <c r="E85" s="31"/>
      <c r="F85" s="31"/>
      <c r="G85" s="31"/>
      <c r="H85" s="31"/>
      <c r="I85" s="31"/>
      <c r="J85" s="31"/>
      <c r="K85" s="31"/>
      <c r="L85" s="31"/>
      <c r="M85" s="31"/>
      <c r="N85" s="31"/>
      <c r="O85" s="31"/>
      <c r="P85" s="31"/>
      <c r="Q85" s="31"/>
      <c r="R85" s="31"/>
      <c r="S85" s="32" t="str">
        <f>HYPERLINK("#'Test Cases'!A5","↑ Summary")</f>
        <v>↑ Summary</v>
      </c>
    </row>
    <row r="86" ht="18" customHeight="1" spans="1:19" x14ac:dyDescent="0.25">
      <c r="A86" s="33" t="s">
        <v>439</v>
      </c>
      <c r="B86" s="33"/>
      <c r="C86" s="33"/>
      <c r="D86" s="33"/>
      <c r="E86" s="33"/>
      <c r="F86" s="33"/>
      <c r="G86" s="33"/>
      <c r="H86" s="33"/>
      <c r="I86" s="33"/>
      <c r="J86" s="33"/>
      <c r="K86" s="33"/>
      <c r="L86" s="33"/>
      <c r="M86" s="33"/>
      <c r="N86" s="33"/>
      <c r="O86" s="33"/>
      <c r="P86" s="33"/>
      <c r="Q86" s="33"/>
      <c r="R86" s="33"/>
      <c r="S86" s="33"/>
    </row>
    <row r="87" ht="30" customHeight="1" spans="1:19" x14ac:dyDescent="0.25">
      <c r="A87" s="11" t="s">
        <v>40</v>
      </c>
      <c r="B87" s="11" t="s">
        <v>41</v>
      </c>
      <c r="C87" s="11" t="s">
        <v>42</v>
      </c>
      <c r="D87" s="11" t="s">
        <v>43</v>
      </c>
      <c r="E87" s="11" t="s">
        <v>12</v>
      </c>
      <c r="F87" s="11" t="s">
        <v>44</v>
      </c>
      <c r="G87" s="11" t="s">
        <v>45</v>
      </c>
      <c r="H87" s="11" t="s">
        <v>46</v>
      </c>
      <c r="I87" s="11" t="s">
        <v>47</v>
      </c>
      <c r="J87" s="11" t="s">
        <v>48</v>
      </c>
      <c r="K87" s="11" t="s">
        <v>49</v>
      </c>
      <c r="L87" s="11" t="s">
        <v>50</v>
      </c>
      <c r="M87" s="11" t="s">
        <v>51</v>
      </c>
      <c r="N87" s="11" t="s">
        <v>52</v>
      </c>
      <c r="O87" s="11" t="s">
        <v>53</v>
      </c>
      <c r="P87" s="11" t="s">
        <v>54</v>
      </c>
      <c r="Q87" s="11" t="s">
        <v>55</v>
      </c>
      <c r="R87" s="11" t="s">
        <v>56</v>
      </c>
      <c r="S87" s="11" t="s">
        <v>57</v>
      </c>
    </row>
    <row r="88" ht="126" customHeight="1" spans="1:19" x14ac:dyDescent="0.25">
      <c r="A88" s="34">
        <v>1</v>
      </c>
      <c r="B88" s="35" t="s">
        <v>440</v>
      </c>
      <c r="C88" s="36" t="s">
        <v>441</v>
      </c>
      <c r="D88" s="37" t="s">
        <v>442</v>
      </c>
      <c r="E88" s="38" t="s">
        <v>443</v>
      </c>
      <c r="F88" s="39" t="s">
        <v>80</v>
      </c>
      <c r="G88" s="36" t="s">
        <v>444</v>
      </c>
      <c r="H88" s="40" t="s">
        <v>445</v>
      </c>
      <c r="I88" s="36" t="s">
        <v>446</v>
      </c>
      <c r="J88" s="36" t="s">
        <v>447</v>
      </c>
      <c r="K88" s="36" t="s">
        <v>448</v>
      </c>
      <c r="L88" s="37" t="s">
        <v>449</v>
      </c>
      <c r="M88" s="34" t="s">
        <v>69</v>
      </c>
      <c r="N88" s="58" t="s">
        <v>97</v>
      </c>
      <c r="O88" s="42" t="s">
        <v>71</v>
      </c>
      <c r="P88" s="56" t="s">
        <v>98</v>
      </c>
      <c r="Q88" s="59" t="s">
        <v>450</v>
      </c>
      <c r="R88" s="59" t="s">
        <v>451</v>
      </c>
      <c r="S88" s="36" t="s">
        <v>73</v>
      </c>
    </row>
    <row r="90" ht="28" customHeight="1" spans="1:19" x14ac:dyDescent="0.25">
      <c r="A90" s="31" t="s">
        <v>452</v>
      </c>
      <c r="B90" s="31"/>
      <c r="C90" s="31"/>
      <c r="D90" s="31"/>
      <c r="E90" s="31"/>
      <c r="F90" s="31"/>
      <c r="G90" s="31"/>
      <c r="H90" s="31"/>
      <c r="I90" s="31"/>
      <c r="J90" s="31"/>
      <c r="K90" s="31"/>
      <c r="L90" s="31"/>
      <c r="M90" s="31"/>
      <c r="N90" s="31"/>
      <c r="O90" s="31"/>
      <c r="P90" s="31"/>
      <c r="Q90" s="31"/>
      <c r="R90" s="31"/>
      <c r="S90" s="32" t="str">
        <f>HYPERLINK("#'Test Cases'!A5","↑ Summary")</f>
        <v>↑ Summary</v>
      </c>
    </row>
    <row r="91" ht="18" customHeight="1" spans="1:19" x14ac:dyDescent="0.25">
      <c r="A91" s="33" t="s">
        <v>453</v>
      </c>
      <c r="B91" s="33"/>
      <c r="C91" s="33"/>
      <c r="D91" s="33"/>
      <c r="E91" s="33"/>
      <c r="F91" s="33"/>
      <c r="G91" s="33"/>
      <c r="H91" s="33"/>
      <c r="I91" s="33"/>
      <c r="J91" s="33"/>
      <c r="K91" s="33"/>
      <c r="L91" s="33"/>
      <c r="M91" s="33"/>
      <c r="N91" s="33"/>
      <c r="O91" s="33"/>
      <c r="P91" s="33"/>
      <c r="Q91" s="33"/>
      <c r="R91" s="33"/>
      <c r="S91" s="33"/>
    </row>
    <row r="92" ht="30" customHeight="1" spans="1:19" x14ac:dyDescent="0.25">
      <c r="A92" s="11" t="s">
        <v>40</v>
      </c>
      <c r="B92" s="11" t="s">
        <v>41</v>
      </c>
      <c r="C92" s="11" t="s">
        <v>42</v>
      </c>
      <c r="D92" s="11" t="s">
        <v>43</v>
      </c>
      <c r="E92" s="11" t="s">
        <v>12</v>
      </c>
      <c r="F92" s="11" t="s">
        <v>44</v>
      </c>
      <c r="G92" s="11" t="s">
        <v>45</v>
      </c>
      <c r="H92" s="11" t="s">
        <v>46</v>
      </c>
      <c r="I92" s="11" t="s">
        <v>47</v>
      </c>
      <c r="J92" s="11" t="s">
        <v>48</v>
      </c>
      <c r="K92" s="11" t="s">
        <v>49</v>
      </c>
      <c r="L92" s="11" t="s">
        <v>50</v>
      </c>
      <c r="M92" s="11" t="s">
        <v>51</v>
      </c>
      <c r="N92" s="11" t="s">
        <v>52</v>
      </c>
      <c r="O92" s="11" t="s">
        <v>53</v>
      </c>
      <c r="P92" s="11" t="s">
        <v>54</v>
      </c>
      <c r="Q92" s="11" t="s">
        <v>55</v>
      </c>
      <c r="R92" s="11" t="s">
        <v>56</v>
      </c>
      <c r="S92" s="11" t="s">
        <v>57</v>
      </c>
    </row>
    <row r="93" ht="126" customHeight="1" spans="1:19" x14ac:dyDescent="0.25">
      <c r="A93" s="34">
        <v>1</v>
      </c>
      <c r="B93" s="35" t="s">
        <v>454</v>
      </c>
      <c r="C93" s="36" t="s">
        <v>455</v>
      </c>
      <c r="D93" s="37" t="s">
        <v>442</v>
      </c>
      <c r="E93" s="38" t="s">
        <v>456</v>
      </c>
      <c r="F93" s="39" t="s">
        <v>80</v>
      </c>
      <c r="G93" s="36" t="s">
        <v>444</v>
      </c>
      <c r="H93" s="40" t="s">
        <v>457</v>
      </c>
      <c r="I93" s="36" t="s">
        <v>458</v>
      </c>
      <c r="J93" s="36" t="s">
        <v>459</v>
      </c>
      <c r="K93" s="36" t="s">
        <v>460</v>
      </c>
      <c r="L93" s="37" t="s">
        <v>461</v>
      </c>
      <c r="M93" s="34" t="s">
        <v>69</v>
      </c>
      <c r="N93" s="58" t="s">
        <v>97</v>
      </c>
      <c r="O93" s="42" t="s">
        <v>71</v>
      </c>
      <c r="P93" s="56" t="s">
        <v>98</v>
      </c>
      <c r="Q93" s="59" t="s">
        <v>450</v>
      </c>
      <c r="R93" s="59" t="s">
        <v>451</v>
      </c>
      <c r="S93" s="36" t="s">
        <v>73</v>
      </c>
    </row>
    <row r="94" ht="126" customHeight="1" spans="1:19" x14ac:dyDescent="0.25">
      <c r="A94" s="47">
        <v>2</v>
      </c>
      <c r="B94" s="48" t="s">
        <v>462</v>
      </c>
      <c r="C94" s="49" t="s">
        <v>463</v>
      </c>
      <c r="D94" s="50" t="s">
        <v>442</v>
      </c>
      <c r="E94" s="51" t="s">
        <v>456</v>
      </c>
      <c r="F94" s="52" t="s">
        <v>80</v>
      </c>
      <c r="G94" s="49" t="s">
        <v>444</v>
      </c>
      <c r="H94" s="53" t="s">
        <v>464</v>
      </c>
      <c r="I94" s="49" t="s">
        <v>465</v>
      </c>
      <c r="J94" s="49" t="s">
        <v>466</v>
      </c>
      <c r="K94" s="49" t="s">
        <v>467</v>
      </c>
      <c r="L94" s="50" t="s">
        <v>468</v>
      </c>
      <c r="M94" s="47" t="s">
        <v>141</v>
      </c>
      <c r="N94" s="54" t="s">
        <v>97</v>
      </c>
      <c r="O94" s="68" t="s">
        <v>142</v>
      </c>
      <c r="P94" s="56" t="s">
        <v>98</v>
      </c>
      <c r="Q94" s="57" t="s">
        <v>450</v>
      </c>
      <c r="R94" s="57" t="s">
        <v>451</v>
      </c>
      <c r="S94" s="49" t="s">
        <v>73</v>
      </c>
    </row>
    <row r="96" ht="28" customHeight="1" spans="1:19" x14ac:dyDescent="0.25">
      <c r="A96" s="31" t="s">
        <v>469</v>
      </c>
      <c r="B96" s="31"/>
      <c r="C96" s="31"/>
      <c r="D96" s="31"/>
      <c r="E96" s="31"/>
      <c r="F96" s="31"/>
      <c r="G96" s="31"/>
      <c r="H96" s="31"/>
      <c r="I96" s="31"/>
      <c r="J96" s="31"/>
      <c r="K96" s="31"/>
      <c r="L96" s="31"/>
      <c r="M96" s="31"/>
      <c r="N96" s="31"/>
      <c r="O96" s="31"/>
      <c r="P96" s="31"/>
      <c r="Q96" s="31"/>
      <c r="R96" s="31"/>
      <c r="S96" s="32" t="str">
        <f>HYPERLINK("#'Test Cases'!A5","↑ Summary")</f>
        <v>↑ Summary</v>
      </c>
    </row>
    <row r="97" ht="18" customHeight="1" spans="1:19" x14ac:dyDescent="0.25">
      <c r="A97" s="33" t="s">
        <v>470</v>
      </c>
      <c r="B97" s="33"/>
      <c r="C97" s="33"/>
      <c r="D97" s="33"/>
      <c r="E97" s="33"/>
      <c r="F97" s="33"/>
      <c r="G97" s="33"/>
      <c r="H97" s="33"/>
      <c r="I97" s="33"/>
      <c r="J97" s="33"/>
      <c r="K97" s="33"/>
      <c r="L97" s="33"/>
      <c r="M97" s="33"/>
      <c r="N97" s="33"/>
      <c r="O97" s="33"/>
      <c r="P97" s="33"/>
      <c r="Q97" s="33"/>
      <c r="R97" s="33"/>
      <c r="S97" s="33"/>
    </row>
    <row r="98" ht="30" customHeight="1" spans="1:19" x14ac:dyDescent="0.25">
      <c r="A98" s="11" t="s">
        <v>40</v>
      </c>
      <c r="B98" s="11" t="s">
        <v>41</v>
      </c>
      <c r="C98" s="11" t="s">
        <v>42</v>
      </c>
      <c r="D98" s="11" t="s">
        <v>43</v>
      </c>
      <c r="E98" s="11" t="s">
        <v>12</v>
      </c>
      <c r="F98" s="11" t="s">
        <v>44</v>
      </c>
      <c r="G98" s="11" t="s">
        <v>45</v>
      </c>
      <c r="H98" s="11" t="s">
        <v>46</v>
      </c>
      <c r="I98" s="11" t="s">
        <v>47</v>
      </c>
      <c r="J98" s="11" t="s">
        <v>48</v>
      </c>
      <c r="K98" s="11" t="s">
        <v>49</v>
      </c>
      <c r="L98" s="11" t="s">
        <v>50</v>
      </c>
      <c r="M98" s="11" t="s">
        <v>51</v>
      </c>
      <c r="N98" s="11" t="s">
        <v>52</v>
      </c>
      <c r="O98" s="11" t="s">
        <v>53</v>
      </c>
      <c r="P98" s="11" t="s">
        <v>54</v>
      </c>
      <c r="Q98" s="11" t="s">
        <v>55</v>
      </c>
      <c r="R98" s="11" t="s">
        <v>56</v>
      </c>
      <c r="S98" s="11" t="s">
        <v>57</v>
      </c>
    </row>
    <row r="99" ht="126" customHeight="1" spans="1:19" x14ac:dyDescent="0.25">
      <c r="A99" s="34">
        <v>1</v>
      </c>
      <c r="B99" s="35" t="s">
        <v>471</v>
      </c>
      <c r="C99" s="36" t="s">
        <v>472</v>
      </c>
      <c r="D99" s="37" t="s">
        <v>442</v>
      </c>
      <c r="E99" s="38" t="s">
        <v>473</v>
      </c>
      <c r="F99" s="39" t="s">
        <v>80</v>
      </c>
      <c r="G99" s="36" t="s">
        <v>444</v>
      </c>
      <c r="H99" s="40" t="s">
        <v>474</v>
      </c>
      <c r="I99" s="36" t="s">
        <v>475</v>
      </c>
      <c r="J99" s="36" t="s">
        <v>476</v>
      </c>
      <c r="K99" s="36" t="s">
        <v>477</v>
      </c>
      <c r="L99" s="37" t="s">
        <v>478</v>
      </c>
      <c r="M99" s="34" t="s">
        <v>69</v>
      </c>
      <c r="N99" s="58" t="s">
        <v>97</v>
      </c>
      <c r="O99" s="42" t="s">
        <v>71</v>
      </c>
      <c r="P99" s="56" t="s">
        <v>98</v>
      </c>
      <c r="Q99" s="59" t="s">
        <v>450</v>
      </c>
      <c r="R99" s="59" t="s">
        <v>451</v>
      </c>
      <c r="S99" s="36" t="s">
        <v>73</v>
      </c>
    </row>
    <row r="101" ht="28" customHeight="1" spans="1:19" x14ac:dyDescent="0.25">
      <c r="A101" s="31" t="s">
        <v>479</v>
      </c>
      <c r="B101" s="31"/>
      <c r="C101" s="31"/>
      <c r="D101" s="31"/>
      <c r="E101" s="31"/>
      <c r="F101" s="31"/>
      <c r="G101" s="31"/>
      <c r="H101" s="31"/>
      <c r="I101" s="31"/>
      <c r="J101" s="31"/>
      <c r="K101" s="31"/>
      <c r="L101" s="31"/>
      <c r="M101" s="31"/>
      <c r="N101" s="31"/>
      <c r="O101" s="31"/>
      <c r="P101" s="31"/>
      <c r="Q101" s="31"/>
      <c r="R101" s="31"/>
      <c r="S101" s="32" t="str">
        <f>HYPERLINK("#'Test Cases'!A5","↑ Summary")</f>
        <v>↑ Summary</v>
      </c>
    </row>
    <row r="102" ht="18" customHeight="1" spans="1:19" x14ac:dyDescent="0.25">
      <c r="A102" s="33" t="s">
        <v>480</v>
      </c>
      <c r="B102" s="33"/>
      <c r="C102" s="33"/>
      <c r="D102" s="33"/>
      <c r="E102" s="33"/>
      <c r="F102" s="33"/>
      <c r="G102" s="33"/>
      <c r="H102" s="33"/>
      <c r="I102" s="33"/>
      <c r="J102" s="33"/>
      <c r="K102" s="33"/>
      <c r="L102" s="33"/>
      <c r="M102" s="33"/>
      <c r="N102" s="33"/>
      <c r="O102" s="33"/>
      <c r="P102" s="33"/>
      <c r="Q102" s="33"/>
      <c r="R102" s="33"/>
      <c r="S102" s="33"/>
    </row>
    <row r="103" ht="30" customHeight="1" spans="1:19" x14ac:dyDescent="0.25">
      <c r="A103" s="11" t="s">
        <v>40</v>
      </c>
      <c r="B103" s="11" t="s">
        <v>41</v>
      </c>
      <c r="C103" s="11" t="s">
        <v>42</v>
      </c>
      <c r="D103" s="11" t="s">
        <v>43</v>
      </c>
      <c r="E103" s="11" t="s">
        <v>12</v>
      </c>
      <c r="F103" s="11" t="s">
        <v>44</v>
      </c>
      <c r="G103" s="11" t="s">
        <v>45</v>
      </c>
      <c r="H103" s="11" t="s">
        <v>46</v>
      </c>
      <c r="I103" s="11" t="s">
        <v>47</v>
      </c>
      <c r="J103" s="11" t="s">
        <v>48</v>
      </c>
      <c r="K103" s="11" t="s">
        <v>49</v>
      </c>
      <c r="L103" s="11" t="s">
        <v>50</v>
      </c>
      <c r="M103" s="11" t="s">
        <v>51</v>
      </c>
      <c r="N103" s="11" t="s">
        <v>52</v>
      </c>
      <c r="O103" s="11" t="s">
        <v>53</v>
      </c>
      <c r="P103" s="11" t="s">
        <v>54</v>
      </c>
      <c r="Q103" s="11" t="s">
        <v>55</v>
      </c>
      <c r="R103" s="11" t="s">
        <v>56</v>
      </c>
      <c r="S103" s="11" t="s">
        <v>57</v>
      </c>
    </row>
    <row r="104" ht="111" customHeight="1" spans="1:19" x14ac:dyDescent="0.25">
      <c r="A104" s="34">
        <v>1</v>
      </c>
      <c r="B104" s="35" t="s">
        <v>481</v>
      </c>
      <c r="C104" s="36" t="s">
        <v>482</v>
      </c>
      <c r="D104" s="37" t="s">
        <v>483</v>
      </c>
      <c r="E104" s="38" t="s">
        <v>484</v>
      </c>
      <c r="F104" s="39" t="s">
        <v>80</v>
      </c>
      <c r="G104" s="36" t="s">
        <v>485</v>
      </c>
      <c r="H104" s="40" t="s">
        <v>486</v>
      </c>
      <c r="I104" s="36" t="s">
        <v>487</v>
      </c>
      <c r="J104" s="36" t="s">
        <v>488</v>
      </c>
      <c r="K104" s="36" t="s">
        <v>489</v>
      </c>
      <c r="L104" s="37" t="s">
        <v>490</v>
      </c>
      <c r="M104" s="34" t="s">
        <v>69</v>
      </c>
      <c r="N104" s="58" t="s">
        <v>97</v>
      </c>
      <c r="O104" s="42" t="s">
        <v>71</v>
      </c>
      <c r="P104" s="56" t="s">
        <v>98</v>
      </c>
      <c r="Q104" s="59" t="s">
        <v>491</v>
      </c>
      <c r="R104" s="59" t="s">
        <v>492</v>
      </c>
      <c r="S104" s="36" t="s">
        <v>73</v>
      </c>
    </row>
    <row r="106" ht="28" customHeight="1" spans="1:19" x14ac:dyDescent="0.25">
      <c r="A106" s="31" t="s">
        <v>493</v>
      </c>
      <c r="B106" s="31"/>
      <c r="C106" s="31"/>
      <c r="D106" s="31"/>
      <c r="E106" s="31"/>
      <c r="F106" s="31"/>
      <c r="G106" s="31"/>
      <c r="H106" s="31"/>
      <c r="I106" s="31"/>
      <c r="J106" s="31"/>
      <c r="K106" s="31"/>
      <c r="L106" s="31"/>
      <c r="M106" s="31"/>
      <c r="N106" s="31"/>
      <c r="O106" s="31"/>
      <c r="P106" s="31"/>
      <c r="Q106" s="31"/>
      <c r="R106" s="31"/>
      <c r="S106" s="32" t="str">
        <f>HYPERLINK("#'Test Cases'!A5","↑ Summary")</f>
        <v>↑ Summary</v>
      </c>
    </row>
    <row r="107" ht="18" customHeight="1" spans="1:19" x14ac:dyDescent="0.25">
      <c r="A107" s="33" t="s">
        <v>494</v>
      </c>
      <c r="B107" s="33"/>
      <c r="C107" s="33"/>
      <c r="D107" s="33"/>
      <c r="E107" s="33"/>
      <c r="F107" s="33"/>
      <c r="G107" s="33"/>
      <c r="H107" s="33"/>
      <c r="I107" s="33"/>
      <c r="J107" s="33"/>
      <c r="K107" s="33"/>
      <c r="L107" s="33"/>
      <c r="M107" s="33"/>
      <c r="N107" s="33"/>
      <c r="O107" s="33"/>
      <c r="P107" s="33"/>
      <c r="Q107" s="33"/>
      <c r="R107" s="33"/>
      <c r="S107" s="33"/>
    </row>
    <row r="108" ht="30" customHeight="1" spans="1:19" x14ac:dyDescent="0.25">
      <c r="A108" s="11" t="s">
        <v>40</v>
      </c>
      <c r="B108" s="11" t="s">
        <v>41</v>
      </c>
      <c r="C108" s="11" t="s">
        <v>42</v>
      </c>
      <c r="D108" s="11" t="s">
        <v>43</v>
      </c>
      <c r="E108" s="11" t="s">
        <v>12</v>
      </c>
      <c r="F108" s="11" t="s">
        <v>44</v>
      </c>
      <c r="G108" s="11" t="s">
        <v>45</v>
      </c>
      <c r="H108" s="11" t="s">
        <v>46</v>
      </c>
      <c r="I108" s="11" t="s">
        <v>47</v>
      </c>
      <c r="J108" s="11" t="s">
        <v>48</v>
      </c>
      <c r="K108" s="11" t="s">
        <v>49</v>
      </c>
      <c r="L108" s="11" t="s">
        <v>50</v>
      </c>
      <c r="M108" s="11" t="s">
        <v>51</v>
      </c>
      <c r="N108" s="11" t="s">
        <v>52</v>
      </c>
      <c r="O108" s="11" t="s">
        <v>53</v>
      </c>
      <c r="P108" s="11" t="s">
        <v>54</v>
      </c>
      <c r="Q108" s="11" t="s">
        <v>55</v>
      </c>
      <c r="R108" s="11" t="s">
        <v>56</v>
      </c>
      <c r="S108" s="11" t="s">
        <v>57</v>
      </c>
    </row>
    <row r="109" ht="96" customHeight="1" spans="1:19" x14ac:dyDescent="0.25">
      <c r="A109" s="34">
        <v>1</v>
      </c>
      <c r="B109" s="35" t="s">
        <v>495</v>
      </c>
      <c r="C109" s="36" t="s">
        <v>496</v>
      </c>
      <c r="D109" s="37" t="s">
        <v>483</v>
      </c>
      <c r="E109" s="38" t="s">
        <v>497</v>
      </c>
      <c r="F109" s="39" t="s">
        <v>80</v>
      </c>
      <c r="G109" s="36" t="s">
        <v>485</v>
      </c>
      <c r="H109" s="40" t="s">
        <v>498</v>
      </c>
      <c r="I109" s="36" t="s">
        <v>499</v>
      </c>
      <c r="J109" s="36" t="s">
        <v>500</v>
      </c>
      <c r="K109" s="36" t="s">
        <v>501</v>
      </c>
      <c r="L109" s="37" t="s">
        <v>502</v>
      </c>
      <c r="M109" s="34" t="s">
        <v>69</v>
      </c>
      <c r="N109" s="58" t="s">
        <v>97</v>
      </c>
      <c r="O109" s="42" t="s">
        <v>71</v>
      </c>
      <c r="P109" s="56" t="s">
        <v>98</v>
      </c>
      <c r="Q109" s="59" t="s">
        <v>503</v>
      </c>
      <c r="R109" s="59" t="s">
        <v>504</v>
      </c>
      <c r="S109" s="36" t="s">
        <v>73</v>
      </c>
    </row>
    <row r="111" ht="28" customHeight="1" spans="1:19" x14ac:dyDescent="0.25">
      <c r="A111" s="31" t="s">
        <v>505</v>
      </c>
      <c r="B111" s="31"/>
      <c r="C111" s="31"/>
      <c r="D111" s="31"/>
      <c r="E111" s="31"/>
      <c r="F111" s="31"/>
      <c r="G111" s="31"/>
      <c r="H111" s="31"/>
      <c r="I111" s="31"/>
      <c r="J111" s="31"/>
      <c r="K111" s="31"/>
      <c r="L111" s="31"/>
      <c r="M111" s="31"/>
      <c r="N111" s="31"/>
      <c r="O111" s="31"/>
      <c r="P111" s="31"/>
      <c r="Q111" s="31"/>
      <c r="R111" s="31"/>
      <c r="S111" s="32" t="str">
        <f>HYPERLINK("#'Test Cases'!A5","↑ Summary")</f>
        <v>↑ Summary</v>
      </c>
    </row>
    <row r="112" ht="18" customHeight="1" spans="1:19" x14ac:dyDescent="0.25">
      <c r="A112" s="33" t="s">
        <v>506</v>
      </c>
      <c r="B112" s="33"/>
      <c r="C112" s="33"/>
      <c r="D112" s="33"/>
      <c r="E112" s="33"/>
      <c r="F112" s="33"/>
      <c r="G112" s="33"/>
      <c r="H112" s="33"/>
      <c r="I112" s="33"/>
      <c r="J112" s="33"/>
      <c r="K112" s="33"/>
      <c r="L112" s="33"/>
      <c r="M112" s="33"/>
      <c r="N112" s="33"/>
      <c r="O112" s="33"/>
      <c r="P112" s="33"/>
      <c r="Q112" s="33"/>
      <c r="R112" s="33"/>
      <c r="S112" s="33"/>
    </row>
    <row r="113" ht="30" customHeight="1" spans="1:19" x14ac:dyDescent="0.25">
      <c r="A113" s="11" t="s">
        <v>40</v>
      </c>
      <c r="B113" s="11" t="s">
        <v>41</v>
      </c>
      <c r="C113" s="11" t="s">
        <v>42</v>
      </c>
      <c r="D113" s="11" t="s">
        <v>43</v>
      </c>
      <c r="E113" s="11" t="s">
        <v>12</v>
      </c>
      <c r="F113" s="11" t="s">
        <v>44</v>
      </c>
      <c r="G113" s="11" t="s">
        <v>45</v>
      </c>
      <c r="H113" s="11" t="s">
        <v>46</v>
      </c>
      <c r="I113" s="11" t="s">
        <v>47</v>
      </c>
      <c r="J113" s="11" t="s">
        <v>48</v>
      </c>
      <c r="K113" s="11" t="s">
        <v>49</v>
      </c>
      <c r="L113" s="11" t="s">
        <v>50</v>
      </c>
      <c r="M113" s="11" t="s">
        <v>51</v>
      </c>
      <c r="N113" s="11" t="s">
        <v>52</v>
      </c>
      <c r="O113" s="11" t="s">
        <v>53</v>
      </c>
      <c r="P113" s="11" t="s">
        <v>54</v>
      </c>
      <c r="Q113" s="11" t="s">
        <v>55</v>
      </c>
      <c r="R113" s="11" t="s">
        <v>56</v>
      </c>
      <c r="S113" s="11" t="s">
        <v>57</v>
      </c>
    </row>
    <row r="114" ht="111" customHeight="1" spans="1:19" x14ac:dyDescent="0.25">
      <c r="A114" s="34">
        <v>1</v>
      </c>
      <c r="B114" s="35" t="s">
        <v>507</v>
      </c>
      <c r="C114" s="36" t="s">
        <v>508</v>
      </c>
      <c r="D114" s="37" t="s">
        <v>483</v>
      </c>
      <c r="E114" s="38" t="s">
        <v>509</v>
      </c>
      <c r="F114" s="39" t="s">
        <v>80</v>
      </c>
      <c r="G114" s="36" t="s">
        <v>485</v>
      </c>
      <c r="H114" s="40" t="s">
        <v>510</v>
      </c>
      <c r="I114" s="36" t="s">
        <v>511</v>
      </c>
      <c r="J114" s="36" t="s">
        <v>512</v>
      </c>
      <c r="K114" s="36" t="s">
        <v>513</v>
      </c>
      <c r="L114" s="37" t="s">
        <v>514</v>
      </c>
      <c r="M114" s="34" t="s">
        <v>69</v>
      </c>
      <c r="N114" s="58" t="s">
        <v>97</v>
      </c>
      <c r="O114" s="42" t="s">
        <v>71</v>
      </c>
      <c r="P114" s="56" t="s">
        <v>98</v>
      </c>
      <c r="Q114" s="59" t="s">
        <v>515</v>
      </c>
      <c r="R114" s="59" t="s">
        <v>516</v>
      </c>
      <c r="S114" s="36" t="s">
        <v>73</v>
      </c>
    </row>
    <row r="116" ht="28" customHeight="1" spans="1:19" x14ac:dyDescent="0.25">
      <c r="A116" s="31" t="s">
        <v>517</v>
      </c>
      <c r="B116" s="31"/>
      <c r="C116" s="31"/>
      <c r="D116" s="31"/>
      <c r="E116" s="31"/>
      <c r="F116" s="31"/>
      <c r="G116" s="31"/>
      <c r="H116" s="31"/>
      <c r="I116" s="31"/>
      <c r="J116" s="31"/>
      <c r="K116" s="31"/>
      <c r="L116" s="31"/>
      <c r="M116" s="31"/>
      <c r="N116" s="31"/>
      <c r="O116" s="31"/>
      <c r="P116" s="31"/>
      <c r="Q116" s="31"/>
      <c r="R116" s="31"/>
      <c r="S116" s="32" t="str">
        <f>HYPERLINK("#'Test Cases'!A5","↑ Summary")</f>
        <v>↑ Summary</v>
      </c>
    </row>
    <row r="117" ht="18" customHeight="1" spans="1:19" x14ac:dyDescent="0.25">
      <c r="A117" s="33" t="s">
        <v>518</v>
      </c>
      <c r="B117" s="33"/>
      <c r="C117" s="33"/>
      <c r="D117" s="33"/>
      <c r="E117" s="33"/>
      <c r="F117" s="33"/>
      <c r="G117" s="33"/>
      <c r="H117" s="33"/>
      <c r="I117" s="33"/>
      <c r="J117" s="33"/>
      <c r="K117" s="33"/>
      <c r="L117" s="33"/>
      <c r="M117" s="33"/>
      <c r="N117" s="33"/>
      <c r="O117" s="33"/>
      <c r="P117" s="33"/>
      <c r="Q117" s="33"/>
      <c r="R117" s="33"/>
      <c r="S117" s="33"/>
    </row>
    <row r="118" ht="30" customHeight="1" spans="1:19" x14ac:dyDescent="0.25">
      <c r="A118" s="11" t="s">
        <v>40</v>
      </c>
      <c r="B118" s="11" t="s">
        <v>41</v>
      </c>
      <c r="C118" s="11" t="s">
        <v>42</v>
      </c>
      <c r="D118" s="11" t="s">
        <v>43</v>
      </c>
      <c r="E118" s="11" t="s">
        <v>12</v>
      </c>
      <c r="F118" s="11" t="s">
        <v>44</v>
      </c>
      <c r="G118" s="11" t="s">
        <v>45</v>
      </c>
      <c r="H118" s="11" t="s">
        <v>46</v>
      </c>
      <c r="I118" s="11" t="s">
        <v>47</v>
      </c>
      <c r="J118" s="11" t="s">
        <v>48</v>
      </c>
      <c r="K118" s="11" t="s">
        <v>49</v>
      </c>
      <c r="L118" s="11" t="s">
        <v>50</v>
      </c>
      <c r="M118" s="11" t="s">
        <v>51</v>
      </c>
      <c r="N118" s="11" t="s">
        <v>52</v>
      </c>
      <c r="O118" s="11" t="s">
        <v>53</v>
      </c>
      <c r="P118" s="11" t="s">
        <v>54</v>
      </c>
      <c r="Q118" s="11" t="s">
        <v>55</v>
      </c>
      <c r="R118" s="11" t="s">
        <v>56</v>
      </c>
      <c r="S118" s="11" t="s">
        <v>57</v>
      </c>
    </row>
    <row r="119" ht="96" customHeight="1" spans="1:19" x14ac:dyDescent="0.25">
      <c r="A119" s="34">
        <v>1</v>
      </c>
      <c r="B119" s="35" t="s">
        <v>519</v>
      </c>
      <c r="C119" s="36" t="s">
        <v>520</v>
      </c>
      <c r="D119" s="37" t="s">
        <v>78</v>
      </c>
      <c r="E119" s="38" t="s">
        <v>37</v>
      </c>
      <c r="F119" s="39" t="s">
        <v>521</v>
      </c>
      <c r="G119" s="36" t="s">
        <v>63</v>
      </c>
      <c r="H119" s="40" t="s">
        <v>522</v>
      </c>
      <c r="I119" s="36" t="s">
        <v>523</v>
      </c>
      <c r="J119" s="36" t="s">
        <v>524</v>
      </c>
      <c r="K119" s="36" t="s">
        <v>525</v>
      </c>
      <c r="L119" s="37" t="s">
        <v>526</v>
      </c>
      <c r="M119" s="34" t="s">
        <v>86</v>
      </c>
      <c r="N119" s="58" t="s">
        <v>97</v>
      </c>
      <c r="O119" s="46" t="s">
        <v>87</v>
      </c>
      <c r="P119" s="43" t="s">
        <v>72</v>
      </c>
      <c r="Q119" s="44" t="s">
        <v>63</v>
      </c>
      <c r="R119" s="45" t="s">
        <v>73</v>
      </c>
      <c r="S119" s="36" t="s">
        <v>73</v>
      </c>
    </row>
    <row r="120" ht="111" customHeight="1" spans="1:19" x14ac:dyDescent="0.25">
      <c r="A120" s="47">
        <v>2</v>
      </c>
      <c r="B120" s="48" t="s">
        <v>527</v>
      </c>
      <c r="C120" s="49" t="s">
        <v>528</v>
      </c>
      <c r="D120" s="50" t="s">
        <v>529</v>
      </c>
      <c r="E120" s="51" t="s">
        <v>37</v>
      </c>
      <c r="F120" s="52" t="s">
        <v>521</v>
      </c>
      <c r="G120" s="49" t="s">
        <v>63</v>
      </c>
      <c r="H120" s="53" t="s">
        <v>530</v>
      </c>
      <c r="I120" s="49" t="s">
        <v>531</v>
      </c>
      <c r="J120" s="49" t="s">
        <v>532</v>
      </c>
      <c r="K120" s="49" t="s">
        <v>533</v>
      </c>
      <c r="L120" s="50" t="s">
        <v>534</v>
      </c>
      <c r="M120" s="47" t="s">
        <v>529</v>
      </c>
      <c r="N120" s="54" t="s">
        <v>97</v>
      </c>
      <c r="O120" s="60" t="s">
        <v>71</v>
      </c>
      <c r="P120" s="43" t="s">
        <v>72</v>
      </c>
      <c r="Q120" s="62" t="s">
        <v>63</v>
      </c>
      <c r="R120" s="63" t="s">
        <v>73</v>
      </c>
      <c r="S120" s="49" t="s">
        <v>73</v>
      </c>
    </row>
    <row r="121" ht="141" customHeight="1" spans="1:19" x14ac:dyDescent="0.25">
      <c r="A121" s="34">
        <v>3</v>
      </c>
      <c r="B121" s="35" t="s">
        <v>535</v>
      </c>
      <c r="C121" s="36" t="s">
        <v>536</v>
      </c>
      <c r="D121" s="37" t="s">
        <v>529</v>
      </c>
      <c r="E121" s="38" t="s">
        <v>37</v>
      </c>
      <c r="F121" s="39" t="s">
        <v>521</v>
      </c>
      <c r="G121" s="36" t="s">
        <v>63</v>
      </c>
      <c r="H121" s="40" t="s">
        <v>537</v>
      </c>
      <c r="I121" s="36" t="s">
        <v>538</v>
      </c>
      <c r="J121" s="36" t="s">
        <v>539</v>
      </c>
      <c r="K121" s="36" t="s">
        <v>540</v>
      </c>
      <c r="L121" s="37" t="s">
        <v>541</v>
      </c>
      <c r="M121" s="34" t="s">
        <v>529</v>
      </c>
      <c r="N121" s="58" t="s">
        <v>97</v>
      </c>
      <c r="O121" s="61" t="s">
        <v>142</v>
      </c>
      <c r="P121" s="43" t="s">
        <v>72</v>
      </c>
      <c r="Q121" s="44" t="s">
        <v>63</v>
      </c>
      <c r="R121" s="45" t="s">
        <v>73</v>
      </c>
      <c r="S121" s="36" t="s">
        <v>73</v>
      </c>
    </row>
    <row r="122" ht="231" customHeight="1" spans="1:19" x14ac:dyDescent="0.25">
      <c r="A122" s="47">
        <v>4</v>
      </c>
      <c r="B122" s="48" t="s">
        <v>542</v>
      </c>
      <c r="C122" s="49" t="s">
        <v>543</v>
      </c>
      <c r="D122" s="50" t="s">
        <v>147</v>
      </c>
      <c r="E122" s="51" t="s">
        <v>37</v>
      </c>
      <c r="F122" s="52" t="s">
        <v>521</v>
      </c>
      <c r="G122" s="49" t="s">
        <v>63</v>
      </c>
      <c r="H122" s="53" t="s">
        <v>544</v>
      </c>
      <c r="I122" s="49" t="s">
        <v>545</v>
      </c>
      <c r="J122" s="49" t="s">
        <v>546</v>
      </c>
      <c r="K122" s="49" t="s">
        <v>547</v>
      </c>
      <c r="L122" s="50" t="s">
        <v>548</v>
      </c>
      <c r="M122" s="47" t="s">
        <v>86</v>
      </c>
      <c r="N122" s="54" t="s">
        <v>97</v>
      </c>
      <c r="O122" s="60" t="s">
        <v>71</v>
      </c>
      <c r="P122" s="43" t="s">
        <v>72</v>
      </c>
      <c r="Q122" s="62" t="s">
        <v>63</v>
      </c>
      <c r="R122" s="63" t="s">
        <v>73</v>
      </c>
      <c r="S122" s="49" t="s">
        <v>73</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52:R52"/>
    <mergeCell ref="A53:S53"/>
    <mergeCell ref="A66:R66"/>
    <mergeCell ref="A67:S67"/>
    <mergeCell ref="A75:R75"/>
    <mergeCell ref="A76:S76"/>
    <mergeCell ref="A85:R85"/>
    <mergeCell ref="A86:S86"/>
    <mergeCell ref="A90:R90"/>
    <mergeCell ref="A91:S91"/>
    <mergeCell ref="A96:R96"/>
    <mergeCell ref="A97:S97"/>
    <mergeCell ref="A101:R101"/>
    <mergeCell ref="A102:S102"/>
    <mergeCell ref="A106:R106"/>
    <mergeCell ref="A107:S107"/>
    <mergeCell ref="A111:R111"/>
    <mergeCell ref="A112:S112"/>
    <mergeCell ref="A116:R116"/>
    <mergeCell ref="A117:S117"/>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2026-09-30T08:37:58Z</dcterms:created>
  <dcterms:modified xsi:type="dcterms:W3CDTF">2026-09-30T08:37:58Z</dcterms:modified>
</cp:coreProperties>
</file>