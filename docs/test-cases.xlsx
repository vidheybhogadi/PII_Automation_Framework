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<sst xmlns="http://schemas.openxmlformats.org/spreadsheetml/2006/main" count="2261" uniqueCount="909">
  <si>
    <t>Aisle PII API Automation — API Test Cases   (Aisle API → PII service → DB validation)</t>
  </si>
  <si>
    <t>Last run: 2026-10-05 05:09 UTC  ·  environment staging  ·  projects=api  ·  took 323.4s</t>
  </si>
  <si>
    <t>Total test cases: 109</t>
  </si>
  <si>
    <t>✔ Pass: 88</t>
  </si>
  <si>
    <t>✘ Fail: 0</t>
  </si>
  <si>
    <t>⚠ Security finding: 0</t>
  </si>
  <si>
    <t>⏸ Blocked: 21</t>
  </si>
  <si>
    <t>⊘ Not Applicable: 0</t>
  </si>
  <si>
    <t>— Not Tested / Skipped: 0</t>
  </si>
  <si>
    <t>Pass rate of tests run: 100%</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</si>
  <si>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</si>
  <si>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</si>
  <si>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</si>
  <si>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</si>
  <si>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</si>
  <si>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</si>
  <si>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</si>
  <si>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</si>
  <si>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</si>
  <si>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</si>
  <si>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</si>
  <si>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</si>
  <si>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</si>
  <si>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</si>
  <si>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</si>
  <si>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</si>
  <si>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POST /api/v1/pii-test/read</t>
  </si>
  <si>
    <t>POST /api/v1/pii-test/{field}/search</t>
  </si>
  <si>
    <t>POST /api/v1/pii-test/batch/read</t>
  </si>
  <si>
    <t>POST /api/v1/pii-test/transient/phones</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</si>
  <si>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</si>
  <si>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</si>
  <si>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</si>
  <si>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</si>
  <si>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</si>
  <si>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</si>
  <si>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</si>
  <si>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</si>
  <si>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</si>
  <si>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</si>
  <si>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</si>
  <si>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</si>
  <si>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</si>
  <si>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</si>
  <si>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</si>
  <si>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</si>
  <si>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</si>
  <si>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</si>
  <si>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</si>
  <si>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</si>
  <si>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</si>
  <si>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</si>
  <si>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</si>
  <si>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</si>
  <si>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</si>
  <si>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</si>
  <si>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</si>
  <si>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</si>
  <si>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</si>
  <si>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</si>
  <si>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</si>
  <si>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</si>
  <si>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</si>
  <si>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</si>
  <si>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</si>
  <si>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</si>
  <si>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</si>
  <si>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</si>
  <si>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</si>
  <si>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</si>
  <si>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</si>
  <si>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</si>
  <si>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43 test cases  ·  ✔ 31  ·  ✘ 0  ·  ⏸ 12 blocked  ·  — 0</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</si>
  <si>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</si>
  <si>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</si>
  <si>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</si>
  <si>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</si>
  <si>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</si>
  <si>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</si>
  <si>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</si>
  <si>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</si>
  <si>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</si>
  <si>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</si>
  <si>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</si>
  <si>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</si>
  <si>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</si>
  <si>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</si>
  <si>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</si>
  <si>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</si>
  <si>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</si>
  <si>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</si>
  <si>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</si>
  <si>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</si>
  <si>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</si>
  <si>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</si>
  <si>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</si>
  <si>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 Blocked</t>
  </si>
  <si>
    <t>BQ-04: Read-only DB access and the PII table/column layout have not been provided yet</t>
  </si>
  <si>
    <t>BLOCKED — BQ-04: Read-only DB access and the PII table/column layout have not been provided yet</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</si>
  <si>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</si>
  <si>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</si>
  <si>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</si>
  <si>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</si>
  <si>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</si>
  <si>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</si>
  <si>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</si>
  <si>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</si>
  <si>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</si>
  <si>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</si>
  <si>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</si>
  <si>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the same tenant as the save reply,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</si>
  <si>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</si>
  <si>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</si>
  <si>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</si>
  <si>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</si>
  <si>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</si>
  <si>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</si>
  <si>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</si>
  <si>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</si>
  <si>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</si>
  <si>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AISLE-DB-006</t>
  </si>
  <si>
    <r>
      <rPr>
        <b/>
        <color rgb="FF0F172A"/>
      </rPr>
      <t>A saved fake name is stored in the designed encrypted layout: 12-byte nonce, 16-byte tamper seal and the key version from the save reply</t>
    </r>
    <r>
      <rPr>
        <color rgb="FF334155"/>
      </rPr>
      <t xml:space="preserve">
Saves a fake name for a new fake user. Then looks at the stored record with a read-only database query (it can only look, never change anything) and checks the parts of the encrypted value.</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</si>
  <si>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t>
  </si>
  <si>
    <t>POST /api/v1/pii-test {"user_id":"&lt;new fake user&gt;","field":"NAME","value":"&lt;fake name&gt;"} · read-only database query “findPiiRecords” (user, NAME)</t>
  </si>
  <si>
    <t xml:space="preserve">1. Save a fake name for a new fake user
2. Run the read-only query for that user’s NAME record
3. Check the size of the nonce (a random number used once per encryption) and of the auth tag (a tamper seal: decryption fails if the stored bytes are changed)
4. Check the key version (the number of the encryption key used) and that the encrypted value is not empty
5. Search the stored value for the name as plain text, hex and Base64 (common ways to write data as characters)</t>
  </si>
  <si>
    <t>The save gets 201 Created. There is exactly one record for that user and NAME. The nonce is exactly 12 bytes and the auth tag exactly 16 bytes. The encrypted value is not empty. The key version is 1 or higher and equals the key version in the save reply. The name is not readable in any form. Per the PII-service design (tech doc v3); to be confirmed by Dev (question BQ-04).</t>
  </si>
  <si>
    <t xml:space="preserve">• Save status is 201
• Exactly one stored record
• Nonce is exactly 12 bytes
• Auth tag is exactly 16 bytes
• Encrypted value is not empty
• Key version is 1 or higher and equals the save reply
• The name is not readable (plain, hex or Base64)</t>
  </si>
  <si>
    <t>The design says every value is encrypted with AES-256-GCM (a standard, strong encryption method). If a stored part has the wrong size or points to the wrong key, the value may not really be encrypted, or it may never be readable again.</t>
  </si>
  <si>
    <t>AISLE-DB-007</t>
  </si>
  <si>
    <r>
      <rPr>
        <b/>
        <color rgb="FF0F172A"/>
      </rPr>
      <t>Saving the same fake name twice re-encrypts it: still one record, with a new nonce, new encrypted bytes and a later update time</t>
    </r>
    <r>
      <rPr>
        <color rgb="FF334155"/>
      </rPr>
      <t xml:space="preserve">
Saves fake name X for a new fake user and looks up the stored record. Then saves exactly the same name again and looks it up again.</t>
    </r>
  </si>
  <si>
    <t>POST /api/v1/pii-test {"user_id":"&lt;new fake user&gt;","field":"NAME","value":"&lt;fake name X&gt;"} (twice) · read-only database query after each save</t>
  </si>
  <si>
    <t xml:space="preserve">1. Save a fake name and look up the stored record (its nonce, encrypted bytes and last-updated time are compared only as fingerprints, never printed)
2. Save the same fake name again
3. Look up the record again
4. Compare the two</t>
  </si>
  <si>
    <t>The first save gets 201 Created and the second 200 OK (replaced), as seen on staging. There is still exactly one record. The nonce changed and the encrypted bytes changed. The last-updated time is later than before. Per the PII-service design; to be confirmed by Dev (question BQ-04).</t>
  </si>
  <si>
    <t xml:space="preserve">• Statuses are 201, then 200
• One record after each save
• The nonce changed
• The encrypted bytes changed
• The last-updated time moved forward</t>
  </si>
  <si>
    <t>If the same name always produced the same stored bytes, anyone with database access could spot which users share a name, or tell when a value did not change. The design requires a fresh random nonce (a number used once) on every save.</t>
  </si>
  <si>
    <t>AISLE-DB-008</t>
  </si>
  <si>
    <r>
      <rPr>
        <b/>
        <color rgb="FF0F172A"/>
      </rPr>
      <t>A saved approved test phone is stored once, and the number is not readable in any common phone format</t>
    </r>
    <r>
      <rPr>
        <color rgb="FF334155"/>
      </rPr>
      <t xml:space="preserve">
Saves one of the team-approved test phone numbers (fake numbers reserved for testing, never a real person’s) as the PHONE of a new fake user. Then looks up the stored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</si>
  <si>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in AISLE_TEST_PHONES; without them the test is marked Blocked (CONFIG).</t>
  </si>
  <si>
    <t>POST /api/v1/pii-test {"user_id":"&lt;new fake user&gt;","field":"PHONE","value":"&lt;approved test phone&gt;"} · read-only database query (user, PHONE)</t>
  </si>
  <si>
    <t xml:space="preserve">1. Save an approved test phone for a new fake user
2. Look up that user’s PHONE record
3. Search the stored value for the number as typed, as digits only, and in international E.164 form (“+91” followed by the number), each as plain text, hex and Base64</t>
  </si>
  <si>
    <t>The save gets 201 Created. There is exactly one PHONE record for that user. Its key version (the number of the encryption key used) matches the save reply. The number is not readable in any of these forms. Per the PII-service design; to be confirmed by Dev (question BQ-04).</t>
  </si>
  <si>
    <t xml:space="preserve">• Save status is 201
• Exactly one PHONE record for the user
• Key version matches the save reply
• The number is not readable as typed, as digits only, or as +91 and the digits</t>
  </si>
  <si>
    <t>A phone number is a direct way to contact a person. It must never be readable by someone who can see the database.</t>
  </si>
  <si>
    <t>AISLE-DB-009</t>
  </si>
  <si>
    <r>
      <rPr>
        <b/>
        <color rgb="FF0F172A"/>
      </rPr>
      <t>Two users with the same fake email share one search fingerprint; a different email gets a different one; a name gets none</t>
    </r>
    <r>
      <rPr>
        <color rgb="FF334155"/>
      </rPr>
      <t xml:space="preserve">
Saves the same fake email for fake users A and B (B types it in capitals), a different fake email for user C, and a fake name for user A. Then reads the search fingerprint of each record. The fingerprint (lookup token) is a one-way code made from the cleaned-up value, so users can be found by email without decrypting anything.</t>
    </r>
  </si>
  <si>
    <t>POST /api/v1/pii-test (EMAIL for users A, B and C; NAME for user A) · read-only database query for each record</t>
  </si>
  <si>
    <t xml:space="preserve">1. Save fake email E for user A, and the same email in capitals for user B
2. Save a different fake email for user C
3. Save a fake name for user A
4. Look up the four records and compare their fingerprints without printing them</t>
  </si>
  <si>
    <t>All saves get 201 Created. A’s and B’s EMAIL fingerprints are present and equal (the fingerprint is taken after the email is cleaned up to lower case, as seen in AISLE-SR-001). C’s fingerprint is present and different. A’s NAME record has no fingerprint (empty). Per the PII-service design; to be confirmed by Dev (question BQ-04). This fits the staging observation that a shared email finds both owners (AISLE-SR-010).</t>
  </si>
  <si>
    <t xml:space="preserve">• All saves are 201
• A and B have the same fingerprint
• C has a different fingerprint
• A’s NAME record has no fingerprint</t>
  </si>
  <si>
    <t>Search relies on this fingerprint. Equal emails must give equal fingerprints, otherwise search misses people. Different emails must differ, otherwise search returns the wrong person. Names are not searchable, so they must have no fingerprint at all.</t>
  </si>
  <si>
    <t>AISLE-DB-011</t>
  </si>
  <si>
    <r>
      <rPr>
        <b/>
        <color rgb="FF0F172A"/>
      </rPr>
      <t>Exactly one encryption key is active, and a newly saved record points to a key that exists</t>
    </r>
    <r>
      <rPr>
        <color rgb="FF334155"/>
      </rPr>
      <t xml:space="preserve">
Saves a fake name. Then reads only the key-number and status columns of the key list (the database table that lists the encryption keys), never the keys themselves, and compares them with the saved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</si>
  <si>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The QA database user may read only the key-number and status columns of the key list.</t>
  </si>
  <si>
    <t>POST /api/v1/pii-test {"user_id":"&lt;new fake user&gt;","field":"NAME","value":"&lt;fake name&gt;"} · read-only database queries “findKeyRegistry” (key number and status only) and “findPiiRecords”</t>
  </si>
  <si>
    <t xml:space="preserve">1. Save a fake name for a new fake user
2. Read the key list (key number and status only)
3. Look up the user’s NAME record
4. Compare the record’s key version (the number of the key used) with the list</t>
  </si>
  <si>
    <t>The save gets 201 Created. Exactly one key has status ACTIVE. Every status is READY, ACTIVE or READ_ONLY. The record’s key version is in the list, and it is the ACTIVE key, because a new save always uses the active key. Per the PII-service design; to be confirmed by Dev (question BQ-04).</t>
  </si>
  <si>
    <t xml:space="preserve">• Exactly one ACTIVE key
• Every status is READY, ACTIVE or READ_ONLY
• The record’s key version is in the key list
• The record uses the ACTIVE key</t>
  </si>
  <si>
    <t>If no key, or two keys, were active, saves could fail or use the wrong key. A record pointing to a key that does not exist could never be decrypted, so the data would be lost.</t>
  </si>
  <si>
    <t>AISLE-DB-015</t>
  </si>
  <si>
    <r>
      <rPr>
        <b/>
        <color rgb="FF0F172A"/>
      </rPr>
      <t>A save refused with 403 (access denied) leaves an audit entry marked as an authorization failure</t>
    </r>
    <r>
      <rPr>
        <color rgb="FF334155"/>
      </rPr>
      <t xml:space="preserve">
Sends a save with a field name that does not exist, which staging refuses with 403 AUTHORIZATION_DENIED (access denied). Then looks up the audit entry (the service’s log of who did what) for that request.</t>
    </r>
  </si>
  <si>
    <t>Blocked until QA gets read-only access to the PII service’s audit trail (MongoDB “audit_trails”) and Dev confirms what it records and how to find a request’s entry (question BQ-30). Only look-ups are ever run.</t>
  </si>
  <si>
    <t>POST /api/v1/pii-test {"user_id":"&lt;new fake user&gt;","field":"&lt;unknown field&gt;","value":"&lt;fake name&gt;"} · read-only audit look-up by request ID</t>
  </si>
  <si>
    <t xml:space="preserve">1. Send a save with an unknown field name and a fake name
2. Check the reply is 403
3. Look up the audit entry by the request ID
4. Check the entry and search it for the fake name</t>
  </si>
  <si>
    <t>The save gets 403 Forbidden with code AUTHORIZATION_DENIED (seen on staging). There is one audit entry with action AUTHZ_FAILURE (authorization failure) and status DENIED. The fake name appears nowhere in it. Per the PII-service design; Dev must confirm which action and status this refusal records (question BQ-30).</t>
  </si>
  <si>
    <t xml:space="preserve">• Save is 403 AUTHORIZATION_DENIED
• One audit entry for the request
• Action AUTHZ_FAILURE and status DENIED
• The fake name appears nowhere in the entry</t>
  </si>
  <si>
    <t>Refused attempts are what investigators look for after misuse. If refusals were not logged, misuse would go unnoticed.</t>
  </si>
  <si>
    <t>BQ-30: No read-only access to the PII audit trail (MongoDB audit_trails) yet, and its format is not confirmed</t>
  </si>
  <si>
    <t>BLOCKED — BQ-30: No read-only access to the PII audit trail (MongoDB audit_trails) yet, and its format is not confirmed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</si>
  <si>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</si>
  <si>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</si>
  <si>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</si>
  <si>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</si>
  <si>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</si>
  <si>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</si>
  <si>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</si>
  <si>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</si>
  <si>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</si>
  <si>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An approved test phone written with “+”, spaces, brackets and dashes is saved as digits only</t>
    </r>
    <r>
      <rPr>
        <color rgb="FF334155"/>
      </rPr>
      <t xml:space="preserve">
Saves approved test phone 1 (a number the team confirmed is nobody’s real phone) for a new fake user, once written with “+”, spaces, brackets and dashes, and once as “+” plus digits. Reads each back.</t>
    </r>
  </si>
  <si>
    <t>Needs the team-approved test phone numbers in AISLE_TEST_PHONES (never a real person’s number). Without them the test is marked Blocked (CONFIG).</t>
  </si>
  <si>
    <t>POST /api/v1/pii-test {"user_id":"&lt;new fake user&gt;","field":"PHONE","value":"&lt;approved test phone 1, formatted&gt;"} · POST /api/v1/pii-test/read {"field_names":["PHONE"]}</t>
  </si>
  <si>
    <t xml:space="preserve">1. Save approved test phone 1 written as “+NN (NNN) NNN-NNNN” for a new fake user
2. Save it written as “+” and digits for another new fake user
3. Read each phone back</t>
  </si>
  <si>
    <t>Both saves succeed and both reads return the phone as digits only. Seen on staging on 2026-10-01.</t>
  </si>
  <si>
    <t xml:space="preserve">• Both saves succeed
• Both reads return digits only</t>
  </si>
  <si>
    <t>People type phone numbers in many styles. The service must store one clean form, or searches and comparisons fail.</t>
  </si>
  <si>
    <t>AISLE-NRM-003</t>
  </si>
  <si>
    <r>
      <rPr>
        <b/>
        <color rgb="FF0F172A"/>
      </rPr>
      <t>A phone that is too short or too long after clean-up, or has no digits, is rejected (400) and nothing is saved</t>
    </r>
    <r>
      <rPr>
        <color rgb="FF334155"/>
      </rPr>
      <t xml:space="preserve">
Tries to save made-up invalid phone values for new fake users: 5 digits, 7 digits, 16 digits, and only symbols (no digits).</t>
    </r>
  </si>
  <si>
    <t>POST /api/v1/pii-test {"user_id":"&lt;new fake user&gt;","field":"PHONE","value":"12345"} · {"value":"1234567"} · {"value":"1234567890123456"} · {"value":"+-() "}</t>
  </si>
  <si>
    <t xml:space="preserve">1. Send each invalid value as a PHONE save for a new fake user
2. Check each reply
3. Read each user</t>
  </si>
  <si>
    <t>Each save gets 400 VALIDATION_ERROR (the value breaks a rule) with no data, never a server error, and nothing is saved (404 on read). Seen on staging on 2026-10-01. Only made-up values are used, never a number that could be someone’s.</t>
  </si>
  <si>
    <t xml:space="preserve">• Each save is 400 VALIDATION_ERROR with no data
• No server error (5xx)
• Nothing saved (404)</t>
  </si>
  <si>
    <t>A phone that is too short, too long or empty after clean-up can never reach anyone; storing it would be wrong data.</t>
  </si>
  <si>
    <t>Negative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</si>
  <si>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</si>
  <si>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</si>
  <si>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</si>
  <si>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</si>
  <si>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</si>
  <si>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</si>
  <si>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</si>
  <si>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</si>
  <si>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</si>
  <si>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</si>
  <si>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</si>
  <si>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</si>
  <si>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</si>
  <si>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</si>
  <si>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</si>
  <si>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</si>
  <si>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</si>
  <si>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</si>
  <si>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</si>
  <si>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</si>
  <si>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</si>
  <si>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</si>
  <si>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</si>
  <si>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</si>
  <si>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</si>
  <si>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</si>
  <si>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</si>
  <si>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</si>
  <si>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</si>
  <si>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</si>
  <si>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</si>
  <si>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</si>
  <si>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</si>
  <si>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</si>
  <si>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</si>
  <si>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</si>
  <si>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</si>
  <si>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</si>
  <si>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</si>
  <si>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</si>
  <si>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</si>
  <si>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</si>
  <si>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</si>
  <si>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</si>
  <si>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</si>
  <si>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</si>
  <si>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</si>
  <si>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</si>
  <si>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</si>
  <si>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</si>
  <si>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</si>
  <si>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</si>
  <si>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</si>
  <si>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</si>
  <si>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</si>
  <si>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</si>
  <si>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</si>
  <si>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</si>
  <si>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</si>
  <si>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</si>
  <si>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</si>
  <si>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</si>
  <si>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</si>
  <si>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</si>
  <si>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</si>
  <si>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</si>
  <si>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</si>
  <si>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</si>
  <si>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</si>
  <si>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</si>
  <si>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</si>
  <si>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</si>
  <si>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</si>
  <si>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</si>
  <si>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</si>
  <si>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</si>
  <si>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</si>
  <si>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</si>
  <si>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</si>
  <si>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</si>
  <si>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</si>
  <si>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</si>
  <si>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</si>
  <si>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</si>
  <si>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</si>
  <si>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</si>
  <si>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</si>
  <si>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</si>
  <si>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</si>
  <si>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</si>
  <si>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</si>
  <si>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</si>
  <si>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</si>
  <si>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</si>
  <si>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</si>
  <si>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</si>
  <si>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</si>
  <si>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</si>
  <si>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</si>
  <si>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</si>
  <si>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</si>
  <si>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</si>
  <si>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</si>
  <si>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</si>
  <si>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</si>
  <si>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</si>
  <si>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</si>
  <si>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</si>
  <si>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</si>
  <si>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</si>
  <si>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</si>
  <si>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</si>
  <si>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</si>
  <si>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</si>
  <si>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</si>
  <si>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</si>
  <si>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</si>
  <si>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</si>
  <si>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</si>
  <si>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</si>
  <si>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</si>
  <si>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</si>
  <si>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</si>
  <si>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</si>
  <si>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</si>
  <si>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</si>
  <si>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</si>
  <si>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</si>
  <si>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</si>
  <si>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</si>
  <si>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</si>
  <si>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</si>
  <si>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</si>
  <si>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</si>
  <si>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</si>
  <si>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</si>
  <si>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</si>
  <si>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</si>
  <si>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</si>
  <si>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</si>
  <si>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</si>
  <si>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</si>
  <si>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</si>
  <si>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</si>
  <si>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</si>
  <si>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</si>
  <si>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</si>
  <si>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</si>
  <si>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</si>
  <si>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</si>
  <si>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</si>
  <si>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</si>
  <si>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</si>
  <si>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</si>
  <si>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</si>
  <si>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</si>
  <si>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</si>
  <si>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</si>
  <si>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</si>
  <si>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</si>
  <si>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</si>
  <si>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</si>
  <si>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</si>
  <si>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</si>
  <si>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</si>
  <si>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</si>
  <si>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BQ-37: EMAIL format rules not defined: on 2026-10-01 all these badly formed emails were saved (201); only a missing "@" is refused | BLOCKED (BQ-37): EMAIL format rules not defined: on 2026-10-01 all these badly formed emails were saved (201); only a missing "@" is refused</t>
  </si>
  <si>
    <t>BLOCKED — BQ-37: EMAIL format rules not defined: on 2026-10-01 all these badly formed emails were saved (201); only a missing "@" is refused</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</si>
  <si>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</si>
  <si>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</si>
  <si>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</si>
  <si>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</si>
  <si>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</si>
  <si>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</si>
  <si>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</si>
  <si>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</si>
  <si>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</si>
  <si>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</si>
  <si>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</si>
  <si>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</si>
  <si>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</si>
  <si>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</si>
  <si>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</si>
  <si>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</si>
  <si>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</si>
  <si>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</si>
  <si>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</si>
  <si>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</si>
  <si>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</si>
  <si>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</si>
  <si>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</si>
  <si>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</si>
  <si>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</si>
  <si>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</si>
  <si>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</si>
  <si>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</si>
  <si>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</si>
  <si>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</si>
  <si>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</si>
  <si>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</si>
  <si>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</si>
  <si>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</si>
  <si>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</si>
  <si>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</si>
  <si>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</si>
  <si>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</si>
  <si>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</si>
  <si>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</si>
  <si>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</si>
  <si>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</si>
  <si>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</si>
  <si>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</si>
  <si>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10  ·  ✘ 0  ·  — 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</si>
  <si>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</si>
  <si>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</si>
  <si>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</si>
  <si>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</si>
  <si>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</si>
  <si>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</si>
  <si>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</si>
  <si>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</si>
  <si>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</si>
  <si>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</si>
  <si>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</si>
  <si>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</si>
  <si>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</si>
  <si>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</si>
  <si>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</si>
  <si>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</si>
  <si>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</si>
  <si>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</si>
  <si>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</si>
  <si>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</si>
  <si>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</si>
  <si>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</si>
  <si>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</si>
  <si>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</si>
  <si>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</si>
  <si>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</si>
  <si>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</si>
  <si>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</si>
  <si>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</si>
  <si>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</si>
  <si>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</si>
  <si>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</si>
  <si>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</si>
  <si>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</si>
  <si>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</si>
  <si>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</si>
  <si>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</si>
  <si>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</si>
  <si>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</si>
  <si>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</si>
  <si>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</si>
  <si>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</si>
  <si>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</si>
  <si>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</si>
  <si>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</si>
  <si>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</si>
  <si>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</si>
  <si>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</si>
  <si>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</si>
  <si>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</si>
  <si>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</si>
  <si>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</si>
  <si>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</si>
  <si>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</si>
  <si>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</si>
  <si>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</si>
  <si>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</si>
  <si>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</si>
  <si>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</si>
  <si>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</si>
  <si>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</si>
  <si>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</si>
  <si>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</si>
  <si>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</si>
  <si>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</si>
  <si>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</si>
  <si>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</si>
  <si>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</si>
  <si>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</si>
  <si>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</si>
  <si>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</si>
  <si>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14  ·  ✘ 0  ·  ⏸ 1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</si>
  <si>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</si>
  <si>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</si>
  <si>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</si>
  <si>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</si>
  <si>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</si>
  <si>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</si>
  <si>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</si>
  <si>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</si>
  <si>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</si>
  <si>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</si>
  <si>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</si>
  <si>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</si>
  <si>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</si>
  <si>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</si>
  <si>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</si>
  <si>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</si>
  <si>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</si>
  <si>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</si>
  <si>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</si>
  <si>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</si>
  <si>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</si>
  <si>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</si>
  <si>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</si>
  <si>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</si>
  <si>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</si>
  <si>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</si>
  <si>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</si>
  <si>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</si>
  <si>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</si>
  <si>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</si>
  <si>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</si>
  <si>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</si>
  <si>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</si>
  <si>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</si>
  <si>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</si>
  <si>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</si>
  <si>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</si>
  <si>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</si>
  <si>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</si>
  <si>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</si>
  <si>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</si>
  <si>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</si>
  <si>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</si>
  <si>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</si>
  <si>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</si>
  <si>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</si>
  <si>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</si>
  <si>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</si>
  <si>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</si>
  <si>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</si>
  <si>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</si>
  <si>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</si>
  <si>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</si>
  <si>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</si>
  <si>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</si>
  <si>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</si>
  <si>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</si>
  <si>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</si>
  <si>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</si>
  <si>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</si>
  <si>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</si>
  <si>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</si>
  <si>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</si>
  <si>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</si>
  <si>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</si>
  <si>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</si>
  <si>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</si>
  <si>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</si>
  <si>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</si>
  <si>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</si>
  <si>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</si>
  <si>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</si>
  <si>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</si>
  <si>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</si>
  <si>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</si>
  <si>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</si>
  <si>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</si>
  <si>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</si>
  <si>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</si>
  <si>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</si>
  <si>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</si>
  <si>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</si>
  <si>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</si>
  <si>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</si>
  <si>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</si>
  <si>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</si>
  <si>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</si>
  <si>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</si>
  <si>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</si>
  <si>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</si>
  <si>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</si>
  <si>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</si>
  <si>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</si>
  <si>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</si>
  <si>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</si>
  <si>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</si>
  <si>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</si>
  <si>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</si>
  <si>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</si>
  <si>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</si>
  <si>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</si>
  <si>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</si>
  <si>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</si>
  <si>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</si>
  <si>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</si>
  <si>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</si>
  <si>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</si>
  <si>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</si>
  <si>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</si>
  <si>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</si>
  <si>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BQ-41: on 2026-10-01 two matches with limit 2 came back with truncated: true; whether "truncated" means "more exist" is Dev’s answer | BLOCKED (BQ-41): on 2026-10-01 two matches with limit 2 came back with truncated: true; whether "truncated" means "more exist" is Dev’s answer</t>
  </si>
  <si>
    <t>BLOCKED — BQ-41: on 2026-10-01 two matches with limit 2 came back with truncated: true; whether "truncated" means "more exist" is Dev’s answer</t>
  </si>
  <si>
    <t>5.  Bulk read PII     POST /api/v1/pii-test/batch/read        12 test cases  ·  ✔ 11  ·  ✘ 0  ·  ⏸ 1 blocked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</si>
  <si>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</si>
  <si>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</si>
  <si>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</si>
  <si>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</si>
  <si>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</si>
  <si>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</si>
  <si>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</si>
  <si>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</si>
  <si>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</si>
  <si>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</si>
  <si>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</si>
  <si>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</si>
  <si>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</si>
  <si>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</si>
  <si>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</si>
  <si>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</si>
  <si>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</si>
  <si>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</si>
  <si>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</si>
  <si>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</si>
  <si>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</si>
  <si>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</si>
  <si>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</si>
  <si>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</si>
  <si>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</si>
  <si>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</si>
  <si>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</si>
  <si>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</si>
  <si>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</si>
  <si>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</si>
  <si>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</si>
  <si>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</si>
  <si>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</si>
  <si>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</si>
  <si>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</si>
  <si>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</si>
  <si>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</si>
  <si>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</si>
  <si>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</si>
  <si>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</si>
  <si>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</si>
  <si>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</si>
  <si>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</si>
  <si>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</si>
  <si>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</si>
  <si>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</si>
  <si>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</si>
  <si>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</si>
  <si>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</si>
  <si>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</si>
  <si>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</si>
  <si>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</si>
  <si>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</si>
  <si>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</si>
  <si>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</si>
  <si>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</si>
  <si>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</si>
  <si>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</si>
  <si>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</si>
  <si>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</si>
  <si>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</si>
  <si>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</si>
  <si>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</si>
  <si>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</si>
  <si>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</si>
  <si>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</si>
  <si>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</si>
  <si>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</si>
  <si>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</si>
  <si>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</si>
  <si>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</si>
  <si>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</si>
  <si>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</si>
  <si>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</si>
  <si>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</si>
  <si>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</si>
  <si>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</si>
  <si>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</si>
  <si>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</si>
  <si>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</si>
  <si>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</si>
  <si>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</si>
  <si>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</si>
  <si>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</si>
  <si>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</si>
  <si>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BQ-18: exactly 200 users returned 403 on staging (2026-09-29); the real maximum must be confirmed before 200 records are created | BLOCKED (BQ-18): exactly 200 users returned 403 on staging (2026-09-29); the real maximum must be confirmed before 200 records are created</t>
  </si>
  <si>
    <t>BLOCKED — BQ-18: exactly 200 users returned 403 on staging (2026-09-29); the real maximum must be confirmed before 200 records are created</t>
  </si>
  <si>
    <t>6.  Create temporary phone     POST /api/v1/pii-test/transient/phones        2 test cases  ·  ✔ 2  ·  ✘ 0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</si>
  <si>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</si>
  <si>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</si>
  <si>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</si>
  <si>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</si>
  <si>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</si>
  <si>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Needs the team-approved test phone numbers in AISLE_TEST_PHONES (never a real person’s number). Without them the test is marked Blocked (CONFIG). Response format observed 2026-10-01; Dev to confirm (question BQ-02).</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</si>
  <si>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</si>
  <si>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</si>
  <si>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</si>
  <si>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</si>
  <si>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</si>
  <si>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AISLE-TR-006</t>
  </si>
  <si>
    <r>
      <rPr>
        <b/>
        <color rgb="FF0F172A"/>
      </rPr>
      <t>A lifetime of 0, a negative number or a huge number is refused; 300 seconds to 7 days is accepted</t>
    </r>
    <r>
      <rPr>
        <color rgb="FF334155"/>
      </rPr>
      <t xml:space="preserve">
Creates temporary phones for approved test phone 1 with lifetimes of 0, −1, 299 seconds, 604,801 seconds and 1,000,000,000 seconds, and with exactly 300 seconds and 604,800 seconds (7 days).</t>
    </r>
  </si>
  <si>
    <t>POST /api/v1/pii-test/transient/phones {"phone":"&lt;approved test phone 1&gt;","ttl_seconds":0} (and the other lifetimes)</t>
  </si>
  <si>
    <t xml:space="preserve">1. Create with lifetime 0 and −1
2. Create with 299, 604,801 and 1,000,000,000 seconds
3. Create with 300 and 604,800 seconds and check the expiry time</t>
  </si>
  <si>
    <t>0 and −1 get 422 Unprocessable Entity naming ttl_seconds. 299, 604,801 and 1,000,000,000 get 400 VALIDATION_ERROR with no data. 300 and 604,800 get 201 Created with an expiry time that many seconds away. Seen on staging on 2026-10-01; Dev still to confirm the range (question BQ-28).</t>
  </si>
  <si>
    <t xml:space="preserve">• 0 / −1 → 422 naming ttl_seconds
• 299 / 604,801 / 10⁹ → 400 VALIDATION_ERROR, no data
• 300 / 604,800 → 201, expiry about that far away
• No server error (5xx)</t>
  </si>
  <si>
    <t>A wrong lifetime could keep a phone number forever or make it unusable. The edges of the allowed range must work.</t>
  </si>
  <si>
    <t>7.  Look up temporary phone     POST /api/v1/pii-test/transient/phones/resolve        3 test cases  ·  ✔ 3  ·  ✘ 0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</si>
  <si>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</si>
  <si>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</si>
  <si>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</si>
  <si>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</si>
  <si>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</si>
  <si>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</si>
  <si>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</si>
  <si>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</si>
  <si>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</si>
  <si>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</si>
  <si>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</si>
  <si>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</si>
  <si>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</si>
  <si>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</si>
  <si>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</si>
  <si>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</si>
  <si>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</si>
  <si>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the shortest lifetime can no longer be looked up after it expires (404)</t>
    </r>
    <r>
      <rPr>
        <color rgb="FF334155"/>
      </rPr>
      <t xml:space="preserve">
Creates a temporary phone (a short-lived phone record for someone not yet signed up) for approved test phone 1 with the shortest allowed lifetime (300 seconds), checks it can be looked up, waits until it has expired, then looks it up again.</t>
    </r>
  </si>
  <si>
    <t>Needs the team-approved test phone numbers in AISLE_TEST_PHONES (never a real person’s number). Without them the test is marked Blocked (CONFIG). Response format observed 2026-10-01; Dev to confirm (question BQ-02). Takes about 5½ minutes (tag @slow).</t>
  </si>
  <si>
    <t>POST /api/v1/pii-test/transient/phones {"phone":"&lt;approved test phone 1&gt;","ttl_seconds":300} · POST /api/v1/pii-test/transient/phones/resolve {"transient_id":"&lt;ID&gt;"} (before and after expiry)</t>
  </si>
  <si>
    <t xml:space="preserve">1. Create a temporary phone with a lifetime of 300 seconds
2. Look it up and check it is found (200)
3. Wait until its expiry time plus about 12 seconds
4. Look it up again</t>
  </si>
  <si>
    <t>Before expiry: 200 OK. After expiry: 404 Not Found with code TRANSIENT_PHONE_NOT_FOUND and no data, never a server error. Seen on staging on 2026-10-05. Slow test (about 5½ minutes, tag @slow).</t>
  </si>
  <si>
    <t xml:space="preserve">• Lookup before expiry → 200
• Lookup after expiry → 404 TRANSIENT_PHONE_NOT_FOUND, no data
• The expiry time is no more than about 6 minutes away (otherwise the test stops instead of waiting)</t>
  </si>
  <si>
    <t>Expired temporary phones must disappear, or phone numbers stay readable longer than allowed.</t>
  </si>
  <si>
    <t>8.  Promote temporary phone     POST /api/v1/pii-test/transient/phones/promote        4 test cases  ·  ✔ 3  ·  ✘ 0  ·  ⏸ 1 blocked  ·  — 0</t>
  </si>
  <si>
    <t>What this endpoint does: Store a transient phone as permanent user PII.</t>
  </si>
  <si>
    <t>AISLE-DB-010</t>
  </si>
  <si>
    <r>
      <rPr>
        <b/>
        <color rgb="FF0F172A"/>
      </rPr>
      <t>Promoting a temporary phone stores it as a normal encrypted PHONE record for the user</t>
    </r>
    <r>
      <rPr>
        <color rgb="FF334155"/>
      </rPr>
      <t xml:space="preserve">
Creates a temporary phone (a short-lived phone record not yet tied to a user) from an approved test number. Then promotes it, which makes it the permanent phone of a new fake user, and looks up that user’s PHONE record.</t>
    </r>
  </si>
  <si>
    <t>/api/v1/pii-test/transient/phones/promote</t>
  </si>
  <si>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(otherwise Blocked: CONFIG), and is marked Blocked if temporary-phone access is refused with 403 (question BQ-02).</t>
  </si>
  <si>
    <t>POST /api/v1/pii-test/transient/phones {"phone":"&lt;approved test phone&gt;","ttl_seconds":300} · POST /api/v1/pii-test/transient/phones/promote {"transient_id":"&lt;ID&gt;","user_id":"&lt;new fake user&gt;"} · read-only database query (user, PHONE)</t>
  </si>
  <si>
    <t xml:space="preserve">1. Create a temporary phone from an approved test number, with a 300-second lifetime
2. Promote it to a new fake user
3. Look up the user’s PHONE record
4. Check the parts of the encrypted value and search the stored value for the number</t>
  </si>
  <si>
    <t>Create gets 201 Created and promote 200 OK (seen on staging; the reply format is still to be confirmed, question BQ-02). There is exactly one PHONE record. The key version (the number of the encryption key used) is 1 or higher. The nonce (a number used once) is 12 bytes and the auth tag (a tamper seal) 16 bytes. A search fingerprint is present, because PHONE is searchable. The number is not readable as typed, as digits only, or as “+91” and the digits. Per the PII-service design; to be confirmed by Dev (question BQ-04).</t>
  </si>
  <si>
    <t xml:space="preserve">• Create is 201 and promote is 200
• Exactly one PHONE record
• Key version is 1 or higher
• Nonce is 12 bytes and auth tag is 16 bytes
• A search fingerprint is present
• The number is not readable in any form</t>
  </si>
  <si>
    <t>Promote is a second way phones get into storage. It must store them as safely as a normal save, otherwise phones added this way would be readable in the database.</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</si>
  <si>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</si>
  <si>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</si>
  <si>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</si>
  <si>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</si>
  <si>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</si>
  <si>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</si>
  <si>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</si>
  <si>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</si>
  <si>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(404) and saves nothing</t>
    </r>
    <r>
      <rPr>
        <color rgb="FF334155"/>
      </rPr>
      <t xml:space="preserve">
Creates a temporary phone for approved test phone 2 with the shortest allowed lifetime (300 seconds), checks it can be looked up, waits until it has expired, then tries to promote it (make it the permanent phone) for a new fake user.</t>
    </r>
  </si>
  <si>
    <t>POST /api/v1/pii-test/transient/phones {"phone":"&lt;approved test phone 2&gt;","ttl_seconds":300} · POST /api/v1/pii-test/transient/phones/promote {"transient_id":"&lt;expired ID&gt;","user_id":"&lt;new fake user&gt;"} · POST /api/v1/pii-test/read {"field_names":["PHONE"]}</t>
  </si>
  <si>
    <t xml:space="preserve">1. Create a temporary phone with a lifetime of 300 seconds and check it is found (200)
2. Wait until its expiry time plus about 12 seconds
3. Promote it for a new fake user
4. Read that user’s phone</t>
  </si>
  <si>
    <t>The promote gets 404 Not Found with code TRANSIENT_PHONE_NOT_FOUND and no data, never a server error. Reading the user’s phone gets 404 (nothing was saved). Seen on staging on 2026-10-05. Slow test (about 5½ minutes, tag @slow).</t>
  </si>
  <si>
    <t xml:space="preserve">• Lookup before expiry → 200
• Promote after expiry → 404 TRANSIENT_PHONE_NOT_FOUND, no data
• The user has no saved phone (404)</t>
  </si>
  <si>
    <t>An expired temporary phone must never become someone’s permanent phone.</t>
  </si>
  <si>
    <t>AISLE-TR-008</t>
  </si>
  <si>
    <r>
      <rPr>
        <b/>
        <color rgb="FF0F172A"/>
      </rPr>
      <t>Promoting a temporary phone onto a user who already has a phone replaces that phone</t>
    </r>
    <r>
      <rPr>
        <color rgb="FF334155"/>
      </rPr>
      <t xml:space="preserve">
Saves approved test phone 1 for a new fake user, then creates a temporary phone for approved test phone 2 and promotes it onto that user.</t>
    </r>
  </si>
  <si>
    <t>POST /api/v1/pii-test {"field":"PHONE","value":"&lt;approved test phone 1&gt;"} · POST /api/v1/pii-test/transient/phones {"phone":"&lt;approved test phone 2&gt;","ttl_seconds":900} · …/promote {"transient_id":"&lt;ID&gt;","user_id":"&lt;same user&gt;"}</t>
  </si>
  <si>
    <t xml:space="preserve">1. Save approved test phone 1 for a new fake user
2. Create a temporary phone for approved test phone 2
3. Promote it onto the user
4. Read the user’s phone and look up the temporary phone again</t>
  </si>
  <si>
    <t>200 OK with created false (an existing phone was replaced) and consumed true. The user’s phone is now phone 2 (digits only). Looking up the temporary phone afterwards gets 404 TRANSIENT_PHONE_NOT_FOUND. Seen on staging on 2026-10-01.</t>
  </si>
  <si>
    <t xml:space="preserve">• Promote 200 with created false and consumed true
• User’s phone is phone 2
• Lookup afterwards → 404 TRANSIENT_PHONE_NOT_FOUND</t>
  </si>
  <si>
    <t>A promote must replace the old phone cleanly and say so, so no number is lost silently.</t>
  </si>
  <si>
    <t>9.  Create encryption key     POST /api/v1/pii-test/free-text/keys        3 test cases  ·  ✔ 2  ·  ✘ 0  ·  ⏸ 1 blocked  ·  — 0</t>
  </si>
  <si>
    <t>What this endpoint does: Create a caller-owned free-text encryption key.</t>
  </si>
  <si>
    <t>AISLE-DB-013</t>
  </si>
  <si>
    <r>
      <rPr>
        <b/>
        <color rgb="FF0F172A"/>
      </rPr>
      <t>A free-text key is stored without the raw key being readable, and revoking it marks the record REVOKED with a time</t>
    </r>
    <r>
      <rPr>
        <color rgb="FF334155"/>
      </rPr>
      <t xml:space="preserve">
Creates a free-text key (a secret Aisle will use to encrypt long texts such as a bio). Looks up its stored record in the PII database (read-only). Then revokes the key (switches it off for good) and looks again.</t>
    </r>
  </si>
  <si>
    <t>/api/v1/pii-test/free-text/keys</t>
  </si>
  <si>
    <t>Blocked until QA gets read-only access to the PII service’s own database (question BQ-04) and Dev says which table stores free-text keys and whether the key is stored encrypted (question BQ-45). Only look-up (SELECT) queries are ever run.</t>
  </si>
  <si>
    <t>POST /api/v1/pii-test/free-text/keys {} · read-only database query “findFreeTextKey” · POST /api/v1/pii-test/free-text/keys/revoke {"key_id":"&lt;key ID&gt;"} · the same query again</t>
  </si>
  <si>
    <t xml:space="preserve">1. Create a free-text key
2. Look up its stored record by key ID
3. Check the status is ACTIVE and the raw key is not in the stored data
4. Revoke the key
5. Look up the record again</t>
  </si>
  <si>
    <t>Create gets 201 Created and revoke 200 OK with status REVOKED (seen on staging). Before the revoke there is one record with status ACTIVE. The raw key does not appear in the stored data, as raw bytes, Base64 or hex. After the revoke the status is REVOKED and the revoked time is set. The table and storage format are unknown; to be confirmed by Dev (questions BQ-04 and BQ-45). If Dev says keys are stored raw, this test stays strict and fails as a security finding.</t>
  </si>
  <si>
    <t xml:space="preserve">• One stored record with status ACTIVE
• The raw key is not stored (raw bytes, Base64 or hex)
• Revoke is 200 with status REVOKED
• After the revoke the stored status is REVOKED and the revoked time is set</t>
  </si>
  <si>
    <t>Anyone who could read the raw key in the database could decrypt users’ free text. The database must also really record a revoke, otherwise a “revoked” key might still be handed out.</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</si>
  <si>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</si>
  <si>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</si>
  <si>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</si>
  <si>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Needs free-text key access for the Aisle caller (granted on 2026-10-01).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</si>
  <si>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</si>
  <si>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</si>
  <si>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Seen on staging on 2026-10-01.</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</si>
  <si>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</si>
  <si>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</si>
  <si>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</si>
  <si>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</si>
  <si>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</si>
  <si>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</si>
  <si>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</si>
  <si>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</si>
  <si>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</si>
  <si>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4 test cases  ·  ✔ 4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</si>
  <si>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</si>
  <si>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</si>
  <si>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</si>
  <si>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</si>
  <si>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</si>
  <si>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</si>
  <si>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Seen on staging on 2026-10-01.</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</si>
  <si>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</si>
  <si>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</si>
  <si>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</si>
  <si>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</si>
  <si>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</si>
  <si>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</si>
  <si>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</si>
  <si>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</si>
  <si>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 Revoking is also expected to be how free text is erased (crypto-shredding: the encrypted text stays in Aisle’s database, but can never be decrypted again because the key is gone); to be confirmed by Dev (question BQ-47).</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</si>
  <si>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</si>
  <si>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</si>
  <si>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</si>
  <si>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</si>
  <si>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</si>
  <si>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</si>
  <si>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</si>
  <si>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AISLE-FT-008</t>
  </si>
  <si>
    <r>
      <rPr>
        <b/>
        <color rgb="FF0F172A"/>
      </rPr>
      <t>A free-text key from the service can encrypt a fake bio, and the same key read back by its ID decrypts it</t>
    </r>
    <r>
      <rPr>
        <color rgb="FF334155"/>
      </rPr>
      <t xml:space="preserve">
Creates a free-text key (a secret used to encrypt long texts such as a bio). On the test machine, uses it to encrypt a fake bio with AES-256-GCM (the encryption method named in the reply) and a fresh random 12-byte nonce (a number used once). Then reads the key again by its key ID and decrypts the fake bio with the key it got back.</t>
    </r>
  </si>
  <si>
    <t xml:space="preserve">1. Create a free-text key and check the reply
2. Encrypt a fake bio on the test machine with that key
3. Read the key again by its key ID
4. Decrypt the fake bio with the re-read key
5. Compare the result with the original fake bio</t>
  </si>
  <si>
    <t>Create gets 201 Created with algorithm AES-256-GCM. Read gets 200 OK. Decryption succeeds (the tamper seal, which rejects wrong keys or changed data, is accepted), and the text equals the original fake bio exactly. The key is never printed; it is only compared through a hash. The encryption is done by the test, not by the service: this proves the key the service hands out is usable and stays the same. Create and read were seen on staging on 2026-10-01.</t>
  </si>
  <si>
    <t xml:space="preserve">• Create is 201 with algorithm AES-256-GCM
• Read is 200
• Decryption with the re-read key succeeds
• The decrypted text equals the original fake bio</t>
  </si>
  <si>
    <t>This is how Aisle will protect long texts: encrypt with the key now, and decrypt later with the same key fetched from the service. If the key returned later did not work, users’ texts could never be shown again.</t>
  </si>
  <si>
    <t>11.  Revoke encryption key     POST /api/v1/pii-test/free-text/keys/revoke        2 test cases  ·  ✔ 1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</si>
  <si>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</si>
  <si>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</si>
  <si>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</si>
  <si>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</si>
  <si>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</si>
  <si>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</si>
  <si>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</si>
  <si>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</si>
  <si>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</si>
  <si>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</si>
  <si>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</si>
  <si>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</si>
  <si>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</si>
  <si>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</si>
  <si>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</si>
  <si>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</si>
  <si>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</si>
  <si>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</si>
  <si>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</si>
  <si>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10 test cases  ·  ✔ 6  ·  ✘ 0  ·  ⏸ 4 blocked  ·  — 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</si>
  <si>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</si>
  <si>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</si>
  <si>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</si>
  <si>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</si>
  <si>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</si>
  <si>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</si>
  <si>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</si>
  <si>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</si>
  <si>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</si>
  <si>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</si>
  <si>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</si>
  <si>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</si>
  <si>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</si>
  <si>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</si>
  <si>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</si>
  <si>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</si>
  <si>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AISLE-DB-012</t>
  </si>
  <si>
    <r>
      <rPr>
        <b/>
        <color rgb="FF0F172A"/>
      </rPr>
      <t>Reading, bulk-reading and searching a fake user’s data leaves the stored records unchanged</t>
    </r>
    <r>
      <rPr>
        <color rgb="FF334155"/>
      </rPr>
      <t xml:space="preserve">
Saves a fake name and a fake email for a new fake user and notes the stored records. Then reads them, bulk-reads them (reads several users in one request) and searches for the email with values on, and looks at the records again.</t>
    </r>
  </si>
  <si>
    <t>POST /api/v1/pii-test (NAME, EMAIL) · POST /api/v1/pii-test/read · POST /api/v1/pii-test/batch/read · POST /api/v1/pii-test/EMAIL/search {"value":"&lt;fake email&gt;","limit":10,"include_values":true} · read-only database queries before and after</t>
  </si>
  <si>
    <t xml:space="preserve">1. Save a fake name and a fake email for a new fake user
2. Note both stored records (as fingerprints only)
3. Read, bulk-read and search for the user’s data
4. Look up the records again and compare</t>
  </si>
  <si>
    <t>Read, bulk read and search each get 200 OK (seen on staging). For both records the encrypted bytes, the nonce (a number used once), the key version and the last-updated time are unchanged. Per the PII-service design; to be confirmed by Dev (question BQ-04).</t>
  </si>
  <si>
    <t xml:space="preserve">• Read, bulk read and search are 200
• Encrypted bytes unchanged
• Nonce unchanged
• Key version unchanged
• Last-updated time unchanged</t>
  </si>
  <si>
    <t>A read must only look. If reading re-wrote records, a simple lookup could damage or re-encrypt data, and the timestamps would no longer show when data really changed.</t>
  </si>
  <si>
    <t>AISLE-DB-014</t>
  </si>
  <si>
    <r>
      <rPr>
        <b/>
        <color rgb="FF0F172A"/>
      </rPr>
      <t>Saving, reading and searching fake data each leave one audit entry with no personal values in it</t>
    </r>
    <r>
      <rPr>
        <color rgb="FF334155"/>
      </rPr>
      <t xml:space="preserve">
Saves a fake email for a new fake user, reads it and searches for it. Then looks up the audit trail (the service’s log of who did what, kept for 7 days) for each of the three requests.</t>
    </r>
  </si>
  <si>
    <t>POST /api/v1/pii-test {"field":"EMAIL",…} · POST /api/v1/pii-test/read · POST /api/v1/pii-test/EMAIL/search {"value":"&lt;fake email&gt;","limit":10,"include_values":false} · read-only audit look-up by request ID</t>
  </si>
  <si>
    <t xml:space="preserve">1. Save a fake email for a new fake user
2. Read it
3. Search for it, with values off (asking for user IDs only)
4. Look up the audit entry of each request by its request ID
5. Search all three entries for the email</t>
  </si>
  <si>
    <t>Save gets 201 Created, read 200 OK and search 200 OK. There is exactly one audit entry per request, with the actions PII_WRITE, PII_READ and PII_SEARCH. Each entry has status SUCCESS and names the EMAIL field. The save and read entries list the fake user. The search entry has a result count of 1 or more. Each entry has a created time and an expiry time 7 days later. The email (as typed and as cleaned up) and the search term appear nowhere in any entry. Per the PII-service design; to be confirmed by Dev (question BQ-30). Also open: whether the request ID QA sends is the one stored in the audit trail.</t>
  </si>
  <si>
    <t xml:space="preserve">• Exactly one audit entry per request
• Actions PII_WRITE, PII_READ and PII_SEARCH
• Status SUCCESS and the EMAIL field on each
• Save and read entries list the fake user; the search entry has a result count of 1 or more
• Each entry expires 7 days after it was created
• The email and the search term appear nowhere</t>
  </si>
  <si>
    <t>DPDP (India’s data-protection law) requires knowing who accessed personal data and when. The audit log itself must not become another copy of that data.</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</si>
  <si>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</si>
  <si>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</si>
  <si>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</si>
  <si>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</si>
  <si>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</si>
  <si>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</si>
  <si>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</si>
  <si>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</si>
  <si>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BQ-36: on 2026-10-01 names were stored as sent (no Unicode normalization) and an email saved with é (one character) was NOT found when searched with e + accent mark; whether they must match is Dev’s decision | BLOCKED (BQ-36): on 2026-10-01 names were stored as sent (no Unicode normalization) and an email saved with é (one character) was NOT found when searched with e + accent mark; whether they must match is Dev’s decision</t>
  </si>
  <si>
    <t>BLOCKED — BQ-36: on 2026-10-01 names were stored as sent (no Unicode normalization) and an email saved with é (one character) was NOT found when searched with e + accent mark; whether they must match is Dev’s decision</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</si>
  <si>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</si>
  <si>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</si>
  <si>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</si>
  <si>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</si>
  <si>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</si>
  <si>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</si>
  <si>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</si>
  <si>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</si>
  <si>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</si>
  <si>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</si>
  <si>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</si>
  <si>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</si>
  <si>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</si>
  <si>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</si>
  <si>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</si>
  <si>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BQ-39: on 2026-10-01 these replies carried "Cache-Control: max-age=0, private, must-revalidate" (no "no-store"), while free-text-key replies carry "no-store"; it is not known whether the PII service or the facade sets this header | BLOCKED (BQ-39): on 2026-10-01 these replies carried "Cache-Control: max-age=0, private, must-revalidate" (no "no-store"), while free-text-key replies carry "no-store"; it is not known whether the PII service or the facade sets this header</t>
  </si>
  <si>
    <t>BLOCKED — BQ-39: on 2026-10-01 these replies carried "Cache-Control: max-age=0, private, must-revalidate" (no "no-store"), while free-text-key replies carry "no-store"; it is not known whether the PII service or the facade sets this header</t>
  </si>
  <si>
    <t>AISLE-TR-009</t>
  </si>
  <si>
    <r>
      <rPr>
        <b/>
        <color rgb="FF0F172A"/>
      </rPr>
      <t>An invalid phone on create, or an invalid user ID on promote, is rejected and nothing is used up</t>
    </r>
    <r>
      <rPr>
        <color rgb="FF334155"/>
      </rPr>
      <t xml:space="preserve">
Creates temporary phones with made-up invalid phones (5 digits, 16 digits, letters), then promotes a valid temporary phone with bad user IDs (empty, a number, null, 129 characters).</t>
    </r>
  </si>
  <si>
    <t>POST /api/v1/pii-test/transient/phones {"phone":"12345","ttl_seconds":900} · …/promote {"transient_id":"&lt;ID&gt;","user_id":""}</t>
  </si>
  <si>
    <t xml:space="preserve">1. Create with each made-up invalid phone
2. Create a temporary phone for approved test phone 1
3. Promote it with each bad user ID
4. Look the temporary phone up again</t>
  </si>
  <si>
    <t>Invalid phones get 400 VALIDATION_ERROR with no data. Each bad user ID gets 422 Unprocessable Entity naming user_id. The temporary phone can still be looked up (200) afterwards. Seen on staging on 2026-10-01.</t>
  </si>
  <si>
    <t xml:space="preserve">• Invalid phones → 400 VALIDATION_ERROR, no data
• Bad user IDs → 422 naming user_id
• Lookup afterwards → 200
• No server error (5xx)</t>
  </si>
  <si>
    <t>Bad input must be refused before anything is stored, and a refused promote must not use up the temporary phone.</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</si>
  <si>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</si>
  <si>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</si>
  <si>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</si>
  <si>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</si>
  <si>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</si>
  <si>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</si>
  <si>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</si>
  <si>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</si>
  <si>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new fake user, saves a fake name, a fake email and approved test phone 1, replaces the phone with approved test phone 2, then reads all three fields and bulk reads the phone.</t>
    </r>
  </si>
  <si>
    <t>POST /api/v1/pii-test {"field":"PHONE","value":"&lt;approved test phone 1&gt;"} · {… "value":"&lt;approved test phone 2&gt;"} · POST /api/v1/pii-test/read {"field_names":["NAME","EMAIL","PHONE"]} · POST /api/v1/pii-test/batch/read {"fields":["PHONE"]}</t>
  </si>
  <si>
    <t xml:space="preserve">1. Save a fake name and a fake email for a new fake user
2. Save approved test phone 1, then replace it with approved test phone 2
3. Read NAME, EMAIL and PHONE together
4. Bulk read the PHONE</t>
  </si>
  <si>
    <t>The first phone save is 201 Created and the replace 200 OK. The read returns count 3 with the name, the email and phone 2 (digits only). The bulk read returns phone 2. Seen on staging on 2026-10-01.</t>
  </si>
  <si>
    <t xml:space="preserve">• Phone save 201, replace 200
• Read count 3 with the right name, email and phone 2
• Bulk read returns phone 2</t>
  </si>
  <si>
    <t>Phones must behave like the other personal fields: a replace must win and must not disturb the other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</si>
</sst>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5"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67">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19" fillId="0" borderId="1" xfId="0" applyFont="1" applyBorder="1" applyAlignment="1">
      <alignment horizontal="center" vertical="center"/>
    </xf>
    <xf numFmtId="0" fontId="20" fillId="11" borderId="0" xfId="0" applyFont="1" applyFill="1" applyAlignment="1">
      <alignment vertical="center" indent="1"/>
    </xf>
    <xf numFmtId="0" fontId="21" fillId="11" borderId="0" xfId="0" applyFont="1" applyFill="1" applyAlignment="1">
      <alignment horizontal="center" vertical="center"/>
    </xf>
    <xf numFmtId="0" fontId="22" fillId="4" borderId="0" xfId="0" applyFont="1" applyFill="1" applyAlignment="1">
      <alignment horizontal="left" vertical="center" indent="1"/>
    </xf>
    <xf numFmtId="0" fontId="0" fillId="0" borderId="1" xfId="0" applyBorder="1" applyAlignment="1">
      <alignment horizontal="center" vertical="top" wrapText="1"/>
    </xf>
    <xf numFmtId="0" fontId="23" fillId="0" borderId="1" xfId="0" applyFont="1" applyBorder="1" applyAlignment="1">
      <alignment horizontal="left" vertical="top" wrapText="1"/>
    </xf>
    <xf numFmtId="0" fontId="0" fillId="0" borderId="1" xfId="0" applyBorder="1" applyAlignment="1">
      <alignment horizontal="left" vertical="top" wrapText="1"/>
    </xf>
    <xf numFmtId="0" fontId="24" fillId="0" borderId="1" xfId="0" applyFont="1"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center" vertical="top" wrapText="1"/>
    </xf>
    <xf numFmtId="0" fontId="27" fillId="0" borderId="1" xfId="0" applyFont="1" applyBorder="1" applyAlignment="1">
      <alignment horizontal="left" vertical="top" wrapText="1"/>
    </xf>
    <xf numFmtId="0" fontId="28" fillId="0" borderId="1" xfId="0" applyFont="1" applyBorder="1" applyAlignment="1">
      <alignment horizontal="center" vertical="top" wrapText="1"/>
    </xf>
    <xf numFmtId="0" fontId="29"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0" fillId="0" borderId="1" xfId="0" applyFont="1" applyBorder="1" applyAlignment="1">
      <alignment horizontal="left" vertical="top" wrapText="1"/>
    </xf>
    <xf numFmtId="0" fontId="16" fillId="0" borderId="1" xfId="0" applyFont="1" applyBorder="1" applyAlignment="1">
      <alignment horizontal="center" vertical="top" wrapText="1"/>
    </xf>
    <xf numFmtId="0" fontId="31" fillId="0" borderId="1" xfId="0" applyFont="1" applyBorder="1" applyAlignment="1">
      <alignment horizontal="center" vertical="top" wrapText="1"/>
    </xf>
    <xf numFmtId="0" fontId="0" fillId="13" borderId="1" xfId="0" applyFill="1" applyBorder="1" applyAlignment="1">
      <alignment horizontal="center" vertical="top" wrapText="1"/>
    </xf>
    <xf numFmtId="0" fontId="23"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4" fillId="13" borderId="1" xfId="0" applyFont="1"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center" vertical="top" wrapText="1"/>
    </xf>
    <xf numFmtId="0" fontId="27"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2" fillId="13" borderId="1" xfId="0" applyFont="1" applyFill="1" applyBorder="1" applyAlignment="1">
      <alignment horizontal="center" vertical="top" wrapText="1"/>
    </xf>
    <xf numFmtId="0" fontId="19" fillId="8" borderId="1" xfId="0" applyFont="1" applyFill="1" applyBorder="1" applyAlignment="1">
      <alignment horizontal="center" vertical="top" wrapText="1"/>
    </xf>
    <xf numFmtId="0" fontId="33" fillId="13" borderId="1" xfId="0" applyFont="1" applyFill="1" applyBorder="1" applyAlignment="1">
      <alignment horizontal="left" vertical="top" wrapText="1"/>
    </xf>
    <xf numFmtId="0" fontId="33"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31" fillId="13"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30" fillId="13" borderId="1" xfId="0" applyFont="1" applyFill="1" applyBorder="1" applyAlignment="1">
      <alignment horizontal="left" vertical="top" wrapText="1"/>
    </xf>
    <xf numFmtId="0" fontId="28" fillId="13" borderId="1" xfId="0" applyFont="1" applyFill="1" applyBorder="1" applyAlignment="1">
      <alignment horizontal="center" vertical="top" wrapText="1"/>
    </xf>
    <xf numFmtId="0" fontId="32" fillId="0" borderId="1" xfId="0" applyFont="1" applyBorder="1" applyAlignment="1">
      <alignment horizontal="center" vertical="top" wrapText="1"/>
    </xf>
    <xf numFmtId="0" fontId="34" fillId="13" borderId="1" xfId="0" applyFont="1" applyFill="1" applyBorder="1" applyAlignment="1">
      <alignment horizontal="center" vertical="top" wrapText="1"/>
    </xf>
    <xf numFmtId="0" fontId="34" fillId="0" borderId="1"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76"/>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43</v>
      </c>
      <c r="H8" s="23">
        <v>31</v>
      </c>
      <c r="I8" s="24">
        <v>0</v>
      </c>
      <c r="J8" s="24">
        <v>0</v>
      </c>
      <c r="K8" s="25">
        <v>12</v>
      </c>
      <c r="L8" s="26">
        <v>0</v>
      </c>
      <c r="M8" s="27">
        <v>0</v>
      </c>
      <c r="N8" s="27"/>
      <c r="O8" s="20" t="s">
        <v>24</v>
      </c>
      <c r="P8" s="20"/>
      <c r="Q8" s="28" t="str">
        <f>HYPERLINK("#'Test Cases'!A26","Section 2 →")</f>
        <v>Section 2 →</v>
      </c>
      <c r="R8" s="28"/>
      <c r="S8" s="28"/>
    </row>
    <row r="9" ht="20" customHeight="1" spans="1:19" x14ac:dyDescent="0.25">
      <c r="A9" s="12">
        <v>3</v>
      </c>
      <c r="B9" s="13" t="str">
        <f>HYPERLINK("#'Test Cases'!A73","Read PII")</f>
        <v>Read PII</v>
      </c>
      <c r="C9" s="13"/>
      <c r="D9" s="14" t="s">
        <v>26</v>
      </c>
      <c r="E9" s="14"/>
      <c r="F9" s="14"/>
      <c r="G9" s="12">
        <v>10</v>
      </c>
      <c r="H9" s="15">
        <v>10</v>
      </c>
      <c r="I9" s="16">
        <v>0</v>
      </c>
      <c r="J9" s="16">
        <v>0</v>
      </c>
      <c r="K9" s="17">
        <v>0</v>
      </c>
      <c r="L9" s="17">
        <v>0</v>
      </c>
      <c r="M9" s="18">
        <v>0</v>
      </c>
      <c r="N9" s="18"/>
      <c r="O9" s="12" t="s">
        <v>24</v>
      </c>
      <c r="P9" s="12"/>
      <c r="Q9" s="19" t="str">
        <f>HYPERLINK("#'Test Cases'!A73","Section 3 →")</f>
        <v>Section 3 →</v>
      </c>
      <c r="R9" s="19"/>
      <c r="S9" s="19"/>
    </row>
    <row r="10" ht="20" customHeight="1" spans="1:19" x14ac:dyDescent="0.25">
      <c r="A10" s="20">
        <v>4</v>
      </c>
      <c r="B10" s="21" t="str">
        <f>HYPERLINK("#'Test Cases'!A87","Search PII")</f>
        <v>Search PII</v>
      </c>
      <c r="C10" s="21"/>
      <c r="D10" s="22" t="s">
        <v>27</v>
      </c>
      <c r="E10" s="22"/>
      <c r="F10" s="22"/>
      <c r="G10" s="20">
        <v>15</v>
      </c>
      <c r="H10" s="23">
        <v>14</v>
      </c>
      <c r="I10" s="24">
        <v>0</v>
      </c>
      <c r="J10" s="24">
        <v>0</v>
      </c>
      <c r="K10" s="25">
        <v>1</v>
      </c>
      <c r="L10" s="26">
        <v>0</v>
      </c>
      <c r="M10" s="27">
        <v>0</v>
      </c>
      <c r="N10" s="27"/>
      <c r="O10" s="20" t="s">
        <v>24</v>
      </c>
      <c r="P10" s="20"/>
      <c r="Q10" s="28" t="str">
        <f>HYPERLINK("#'Test Cases'!A87","Section 4 →")</f>
        <v>Section 4 →</v>
      </c>
      <c r="R10" s="28"/>
      <c r="S10" s="28"/>
    </row>
    <row r="11" ht="20" customHeight="1" spans="1:19" x14ac:dyDescent="0.25">
      <c r="A11" s="12">
        <v>5</v>
      </c>
      <c r="B11" s="13" t="str">
        <f>HYPERLINK("#'Test Cases'!A106","Bulk read PII")</f>
        <v>Bulk read PII</v>
      </c>
      <c r="C11" s="13"/>
      <c r="D11" s="14" t="s">
        <v>28</v>
      </c>
      <c r="E11" s="14"/>
      <c r="F11" s="14"/>
      <c r="G11" s="12">
        <v>12</v>
      </c>
      <c r="H11" s="15">
        <v>11</v>
      </c>
      <c r="I11" s="16">
        <v>0</v>
      </c>
      <c r="J11" s="16">
        <v>0</v>
      </c>
      <c r="K11" s="29">
        <v>1</v>
      </c>
      <c r="L11" s="17">
        <v>0</v>
      </c>
      <c r="M11" s="18">
        <v>0</v>
      </c>
      <c r="N11" s="18"/>
      <c r="O11" s="12" t="s">
        <v>24</v>
      </c>
      <c r="P11" s="12"/>
      <c r="Q11" s="19" t="str">
        <f>HYPERLINK("#'Test Cases'!A106","Section 5 →")</f>
        <v>Section 5 →</v>
      </c>
      <c r="R11" s="19"/>
      <c r="S11" s="19"/>
    </row>
    <row r="12" ht="20" customHeight="1" spans="1:19" x14ac:dyDescent="0.25">
      <c r="A12" s="20">
        <v>6</v>
      </c>
      <c r="B12" s="21" t="str">
        <f>HYPERLINK("#'Test Cases'!A122","Create temporary phone")</f>
        <v>Create temporary phone</v>
      </c>
      <c r="C12" s="21"/>
      <c r="D12" s="22" t="s">
        <v>29</v>
      </c>
      <c r="E12" s="22"/>
      <c r="F12" s="22"/>
      <c r="G12" s="20">
        <v>2</v>
      </c>
      <c r="H12" s="23">
        <v>2</v>
      </c>
      <c r="I12" s="24">
        <v>0</v>
      </c>
      <c r="J12" s="24">
        <v>0</v>
      </c>
      <c r="K12" s="26">
        <v>0</v>
      </c>
      <c r="L12" s="26">
        <v>0</v>
      </c>
      <c r="M12" s="27">
        <v>0</v>
      </c>
      <c r="N12" s="27"/>
      <c r="O12" s="20" t="s">
        <v>24</v>
      </c>
      <c r="P12" s="20"/>
      <c r="Q12" s="28" t="str">
        <f>HYPERLINK("#'Test Cases'!A122","Section 6 →")</f>
        <v>Section 6 →</v>
      </c>
      <c r="R12" s="28"/>
      <c r="S12" s="28"/>
    </row>
    <row r="13" ht="20" customHeight="1" spans="1:19" x14ac:dyDescent="0.25">
      <c r="A13" s="12">
        <v>7</v>
      </c>
      <c r="B13" s="13" t="str">
        <f>HYPERLINK("#'Test Cases'!A128","Look up temporary phone")</f>
        <v>Look up temporary phone</v>
      </c>
      <c r="C13" s="13"/>
      <c r="D13" s="14" t="s">
        <v>30</v>
      </c>
      <c r="E13" s="14"/>
      <c r="F13" s="14"/>
      <c r="G13" s="12">
        <v>3</v>
      </c>
      <c r="H13" s="15">
        <v>3</v>
      </c>
      <c r="I13" s="16">
        <v>0</v>
      </c>
      <c r="J13" s="16">
        <v>0</v>
      </c>
      <c r="K13" s="17">
        <v>0</v>
      </c>
      <c r="L13" s="17">
        <v>0</v>
      </c>
      <c r="M13" s="18">
        <v>0</v>
      </c>
      <c r="N13" s="18"/>
      <c r="O13" s="12" t="s">
        <v>24</v>
      </c>
      <c r="P13" s="12"/>
      <c r="Q13" s="19" t="str">
        <f>HYPERLINK("#'Test Cases'!A128","Section 7 →")</f>
        <v>Section 7 →</v>
      </c>
      <c r="R13" s="19"/>
      <c r="S13" s="19"/>
    </row>
    <row r="14" ht="20" customHeight="1" spans="1:19" x14ac:dyDescent="0.25">
      <c r="A14" s="20">
        <v>8</v>
      </c>
      <c r="B14" s="21" t="str">
        <f>HYPERLINK("#'Test Cases'!A135","Promote temporary phone")</f>
        <v>Promote temporary phone</v>
      </c>
      <c r="C14" s="21"/>
      <c r="D14" s="22" t="s">
        <v>31</v>
      </c>
      <c r="E14" s="22"/>
      <c r="F14" s="22"/>
      <c r="G14" s="20">
        <v>4</v>
      </c>
      <c r="H14" s="23">
        <v>3</v>
      </c>
      <c r="I14" s="24">
        <v>0</v>
      </c>
      <c r="J14" s="24">
        <v>0</v>
      </c>
      <c r="K14" s="25">
        <v>1</v>
      </c>
      <c r="L14" s="26">
        <v>0</v>
      </c>
      <c r="M14" s="27">
        <v>0</v>
      </c>
      <c r="N14" s="27"/>
      <c r="O14" s="20" t="s">
        <v>24</v>
      </c>
      <c r="P14" s="20"/>
      <c r="Q14" s="28" t="str">
        <f>HYPERLINK("#'Test Cases'!A135","Section 8 →")</f>
        <v>Section 8 →</v>
      </c>
      <c r="R14" s="28"/>
      <c r="S14" s="28"/>
    </row>
    <row r="15" ht="20" customHeight="1" spans="1:19" x14ac:dyDescent="0.25">
      <c r="A15" s="12">
        <v>9</v>
      </c>
      <c r="B15" s="13" t="str">
        <f>HYPERLINK("#'Test Cases'!A143","Create encryption key")</f>
        <v>Create encryption key</v>
      </c>
      <c r="C15" s="13"/>
      <c r="D15" s="14" t="s">
        <v>32</v>
      </c>
      <c r="E15" s="14"/>
      <c r="F15" s="14"/>
      <c r="G15" s="12">
        <v>3</v>
      </c>
      <c r="H15" s="15">
        <v>2</v>
      </c>
      <c r="I15" s="16">
        <v>0</v>
      </c>
      <c r="J15" s="16">
        <v>0</v>
      </c>
      <c r="K15" s="29">
        <v>1</v>
      </c>
      <c r="L15" s="17">
        <v>0</v>
      </c>
      <c r="M15" s="18">
        <v>0</v>
      </c>
      <c r="N15" s="18"/>
      <c r="O15" s="12" t="s">
        <v>24</v>
      </c>
      <c r="P15" s="12"/>
      <c r="Q15" s="19" t="str">
        <f>HYPERLINK("#'Test Cases'!A143","Section 9 →")</f>
        <v>Section 9 →</v>
      </c>
      <c r="R15" s="19"/>
      <c r="S15" s="19"/>
    </row>
    <row r="16" ht="20" customHeight="1" spans="1:19" x14ac:dyDescent="0.25">
      <c r="A16" s="20">
        <v>10</v>
      </c>
      <c r="B16" s="21" t="str">
        <f>HYPERLINK("#'Test Cases'!A150","Read encryption key")</f>
        <v>Read encryption key</v>
      </c>
      <c r="C16" s="21"/>
      <c r="D16" s="22" t="s">
        <v>33</v>
      </c>
      <c r="E16" s="22"/>
      <c r="F16" s="22"/>
      <c r="G16" s="20">
        <v>4</v>
      </c>
      <c r="H16" s="23">
        <v>4</v>
      </c>
      <c r="I16" s="24">
        <v>0</v>
      </c>
      <c r="J16" s="24">
        <v>0</v>
      </c>
      <c r="K16" s="26">
        <v>0</v>
      </c>
      <c r="L16" s="26">
        <v>0</v>
      </c>
      <c r="M16" s="27">
        <v>0</v>
      </c>
      <c r="N16" s="27"/>
      <c r="O16" s="20" t="s">
        <v>24</v>
      </c>
      <c r="P16" s="20"/>
      <c r="Q16" s="28" t="str">
        <f>HYPERLINK("#'Test Cases'!A150","Section 10 →")</f>
        <v>Section 10 →</v>
      </c>
      <c r="R16" s="28"/>
      <c r="S16" s="28"/>
    </row>
    <row r="17" ht="20" customHeight="1" spans="1:19" x14ac:dyDescent="0.25">
      <c r="A17" s="12">
        <v>11</v>
      </c>
      <c r="B17" s="13" t="str">
        <f>HYPERLINK("#'Test Cases'!A158","Revoke encryption key")</f>
        <v>Revoke encryption key</v>
      </c>
      <c r="C17" s="13"/>
      <c r="D17" s="14" t="s">
        <v>34</v>
      </c>
      <c r="E17" s="14"/>
      <c r="F17" s="14"/>
      <c r="G17" s="12">
        <v>2</v>
      </c>
      <c r="H17" s="15">
        <v>1</v>
      </c>
      <c r="I17" s="16">
        <v>0</v>
      </c>
      <c r="J17" s="16">
        <v>0</v>
      </c>
      <c r="K17" s="29">
        <v>1</v>
      </c>
      <c r="L17" s="17">
        <v>0</v>
      </c>
      <c r="M17" s="18">
        <v>0</v>
      </c>
      <c r="N17" s="18"/>
      <c r="O17" s="12" t="s">
        <v>24</v>
      </c>
      <c r="P17" s="12"/>
      <c r="Q17" s="19" t="str">
        <f>HYPERLINK("#'Test Cases'!A158","Section 11 →")</f>
        <v>Section 11 →</v>
      </c>
      <c r="R17" s="19"/>
      <c r="S17" s="19"/>
    </row>
    <row r="18" ht="20" customHeight="1" spans="1:19" x14ac:dyDescent="0.25">
      <c r="A18" s="20">
        <v>12</v>
      </c>
      <c r="B18" s="21" t="str">
        <f>HYPERLINK("#'Test Cases'!A164","Across endpoints")</f>
        <v>Across endpoints</v>
      </c>
      <c r="C18" s="21"/>
      <c r="D18" s="22" t="s">
        <v>35</v>
      </c>
      <c r="E18" s="22"/>
      <c r="F18" s="22"/>
      <c r="G18" s="20">
        <v>10</v>
      </c>
      <c r="H18" s="23">
        <v>6</v>
      </c>
      <c r="I18" s="24">
        <v>0</v>
      </c>
      <c r="J18" s="24">
        <v>0</v>
      </c>
      <c r="K18" s="25">
        <v>4</v>
      </c>
      <c r="L18" s="26">
        <v>0</v>
      </c>
      <c r="M18" s="27">
        <v>0</v>
      </c>
      <c r="N18" s="27"/>
      <c r="O18" s="20" t="s">
        <v>24</v>
      </c>
      <c r="P18" s="20"/>
      <c r="Q18" s="28" t="str">
        <f>HYPERLINK("#'Test Cases'!A164","Section 12 →")</f>
        <v>Section 12 →</v>
      </c>
      <c r="R18" s="28"/>
      <c r="S18" s="28"/>
    </row>
    <row r="21" ht="28" customHeight="1" spans="1:19" x14ac:dyDescent="0.25">
      <c r="A21" s="30" t="s">
        <v>36</v>
      </c>
      <c r="B21" s="30"/>
      <c r="C21" s="30"/>
      <c r="D21" s="30"/>
      <c r="E21" s="30"/>
      <c r="F21" s="30"/>
      <c r="G21" s="30"/>
      <c r="H21" s="30"/>
      <c r="I21" s="30"/>
      <c r="J21" s="30"/>
      <c r="K21" s="30"/>
      <c r="L21" s="30"/>
      <c r="M21" s="30"/>
      <c r="N21" s="30"/>
      <c r="O21" s="30"/>
      <c r="P21" s="30"/>
      <c r="Q21" s="30"/>
      <c r="R21" s="30"/>
      <c r="S21" s="31" t="str">
        <f>HYPERLINK("#'Test Cases'!A5","↑ Summary")</f>
        <v>↑ Summary</v>
      </c>
    </row>
    <row r="22" ht="18" customHeight="1" spans="1:19" x14ac:dyDescent="0.25">
      <c r="A22" s="32" t="s">
        <v>37</v>
      </c>
      <c r="B22" s="32"/>
      <c r="C22" s="32"/>
      <c r="D22" s="32"/>
      <c r="E22" s="32"/>
      <c r="F22" s="32"/>
      <c r="G22" s="32"/>
      <c r="H22" s="32"/>
      <c r="I22" s="32"/>
      <c r="J22" s="32"/>
      <c r="K22" s="32"/>
      <c r="L22" s="32"/>
      <c r="M22" s="32"/>
      <c r="N22" s="32"/>
      <c r="O22" s="32"/>
      <c r="P22" s="32"/>
      <c r="Q22" s="32"/>
      <c r="R22" s="32"/>
      <c r="S22" s="32"/>
    </row>
    <row r="23" ht="30" customHeight="1" spans="1:19" x14ac:dyDescent="0.25">
      <c r="A23" s="11" t="s">
        <v>38</v>
      </c>
      <c r="B23" s="11" t="s">
        <v>39</v>
      </c>
      <c r="C23" s="11" t="s">
        <v>40</v>
      </c>
      <c r="D23" s="11" t="s">
        <v>41</v>
      </c>
      <c r="E23" s="11" t="s">
        <v>12</v>
      </c>
      <c r="F23" s="11" t="s">
        <v>42</v>
      </c>
      <c r="G23" s="11" t="s">
        <v>43</v>
      </c>
      <c r="H23" s="11" t="s">
        <v>44</v>
      </c>
      <c r="I23" s="11" t="s">
        <v>45</v>
      </c>
      <c r="J23" s="11" t="s">
        <v>46</v>
      </c>
      <c r="K23" s="11" t="s">
        <v>47</v>
      </c>
      <c r="L23" s="11" t="s">
        <v>48</v>
      </c>
      <c r="M23" s="11" t="s">
        <v>49</v>
      </c>
      <c r="N23" s="11" t="s">
        <v>50</v>
      </c>
      <c r="O23" s="11" t="s">
        <v>51</v>
      </c>
      <c r="P23" s="11" t="s">
        <v>52</v>
      </c>
      <c r="Q23" s="11" t="s">
        <v>53</v>
      </c>
      <c r="R23" s="11" t="s">
        <v>54</v>
      </c>
      <c r="S23" s="11" t="s">
        <v>55</v>
      </c>
    </row>
    <row r="24" ht="126" customHeight="1" spans="1:19" x14ac:dyDescent="0.25">
      <c r="A24" s="33">
        <v>1</v>
      </c>
      <c r="B24" s="34" t="s">
        <v>56</v>
      </c>
      <c r="C24" s="35" t="s">
        <v>57</v>
      </c>
      <c r="D24" s="36" t="s">
        <v>58</v>
      </c>
      <c r="E24" s="37" t="s">
        <v>59</v>
      </c>
      <c r="F24" s="38" t="s">
        <v>60</v>
      </c>
      <c r="G24" s="35" t="s">
        <v>61</v>
      </c>
      <c r="H24" s="39" t="s">
        <v>62</v>
      </c>
      <c r="I24" s="35" t="s">
        <v>63</v>
      </c>
      <c r="J24" s="35" t="s">
        <v>64</v>
      </c>
      <c r="K24" s="35" t="s">
        <v>65</v>
      </c>
      <c r="L24" s="36" t="s">
        <v>66</v>
      </c>
      <c r="M24" s="33" t="s">
        <v>67</v>
      </c>
      <c r="N24" s="40" t="s">
        <v>68</v>
      </c>
      <c r="O24" s="41" t="s">
        <v>69</v>
      </c>
      <c r="P24" s="42" t="s">
        <v>70</v>
      </c>
      <c r="Q24" s="43" t="s">
        <v>61</v>
      </c>
      <c r="R24" s="44" t="s">
        <v>71</v>
      </c>
      <c r="S24" s="35" t="s">
        <v>71</v>
      </c>
    </row>
    <row r="26" ht="28" customHeight="1" spans="1:19" x14ac:dyDescent="0.25">
      <c r="A26" s="30" t="s">
        <v>72</v>
      </c>
      <c r="B26" s="30"/>
      <c r="C26" s="30"/>
      <c r="D26" s="30"/>
      <c r="E26" s="30"/>
      <c r="F26" s="30"/>
      <c r="G26" s="30"/>
      <c r="H26" s="30"/>
      <c r="I26" s="30"/>
      <c r="J26" s="30"/>
      <c r="K26" s="30"/>
      <c r="L26" s="30"/>
      <c r="M26" s="30"/>
      <c r="N26" s="30"/>
      <c r="O26" s="30"/>
      <c r="P26" s="30"/>
      <c r="Q26" s="30"/>
      <c r="R26" s="30"/>
      <c r="S26" s="31" t="str">
        <f>HYPERLINK("#'Test Cases'!A5","↑ Summary")</f>
        <v>↑ Summary</v>
      </c>
    </row>
    <row r="27" ht="18" customHeight="1" spans="1:19" x14ac:dyDescent="0.25">
      <c r="A27" s="32" t="s">
        <v>73</v>
      </c>
      <c r="B27" s="32"/>
      <c r="C27" s="32"/>
      <c r="D27" s="32"/>
      <c r="E27" s="32"/>
      <c r="F27" s="32"/>
      <c r="G27" s="32"/>
      <c r="H27" s="32"/>
      <c r="I27" s="32"/>
      <c r="J27" s="32"/>
      <c r="K27" s="32"/>
      <c r="L27" s="32"/>
      <c r="M27" s="32"/>
      <c r="N27" s="32"/>
      <c r="O27" s="32"/>
      <c r="P27" s="32"/>
      <c r="Q27" s="32"/>
      <c r="R27" s="32"/>
      <c r="S27" s="32"/>
    </row>
    <row r="28" ht="30" customHeight="1" spans="1:19" x14ac:dyDescent="0.25">
      <c r="A28" s="11" t="s">
        <v>38</v>
      </c>
      <c r="B28" s="11" t="s">
        <v>39</v>
      </c>
      <c r="C28" s="11" t="s">
        <v>40</v>
      </c>
      <c r="D28" s="11" t="s">
        <v>41</v>
      </c>
      <c r="E28" s="11" t="s">
        <v>12</v>
      </c>
      <c r="F28" s="11" t="s">
        <v>42</v>
      </c>
      <c r="G28" s="11" t="s">
        <v>43</v>
      </c>
      <c r="H28" s="11" t="s">
        <v>44</v>
      </c>
      <c r="I28" s="11" t="s">
        <v>45</v>
      </c>
      <c r="J28" s="11" t="s">
        <v>46</v>
      </c>
      <c r="K28" s="11" t="s">
        <v>47</v>
      </c>
      <c r="L28" s="11" t="s">
        <v>48</v>
      </c>
      <c r="M28" s="11" t="s">
        <v>49</v>
      </c>
      <c r="N28" s="11" t="s">
        <v>50</v>
      </c>
      <c r="O28" s="11" t="s">
        <v>51</v>
      </c>
      <c r="P28" s="11" t="s">
        <v>52</v>
      </c>
      <c r="Q28" s="11" t="s">
        <v>53</v>
      </c>
      <c r="R28" s="11" t="s">
        <v>54</v>
      </c>
      <c r="S28" s="11" t="s">
        <v>55</v>
      </c>
    </row>
    <row r="29" ht="96" customHeight="1" spans="1:19" x14ac:dyDescent="0.25">
      <c r="A29" s="33">
        <v>1</v>
      </c>
      <c r="B29" s="34" t="s">
        <v>74</v>
      </c>
      <c r="C29" s="35" t="s">
        <v>75</v>
      </c>
      <c r="D29" s="36" t="s">
        <v>76</v>
      </c>
      <c r="E29" s="37" t="s">
        <v>77</v>
      </c>
      <c r="F29" s="38" t="s">
        <v>78</v>
      </c>
      <c r="G29" s="35" t="s">
        <v>61</v>
      </c>
      <c r="H29" s="39" t="s">
        <v>79</v>
      </c>
      <c r="I29" s="35" t="s">
        <v>80</v>
      </c>
      <c r="J29" s="35" t="s">
        <v>81</v>
      </c>
      <c r="K29" s="35" t="s">
        <v>82</v>
      </c>
      <c r="L29" s="36" t="s">
        <v>83</v>
      </c>
      <c r="M29" s="33" t="s">
        <v>76</v>
      </c>
      <c r="N29" s="45" t="s">
        <v>84</v>
      </c>
      <c r="O29" s="46" t="s">
        <v>85</v>
      </c>
      <c r="P29" s="42" t="s">
        <v>70</v>
      </c>
      <c r="Q29" s="43" t="s">
        <v>61</v>
      </c>
      <c r="R29" s="44" t="s">
        <v>71</v>
      </c>
      <c r="S29" s="35" t="s">
        <v>71</v>
      </c>
    </row>
    <row r="30" ht="141" customHeight="1" spans="1:19" x14ac:dyDescent="0.25">
      <c r="A30" s="47">
        <v>2</v>
      </c>
      <c r="B30" s="48" t="s">
        <v>86</v>
      </c>
      <c r="C30" s="49" t="s">
        <v>87</v>
      </c>
      <c r="D30" s="50" t="s">
        <v>88</v>
      </c>
      <c r="E30" s="51" t="s">
        <v>77</v>
      </c>
      <c r="F30" s="52" t="s">
        <v>78</v>
      </c>
      <c r="G30" s="49" t="s">
        <v>89</v>
      </c>
      <c r="H30" s="53" t="s">
        <v>90</v>
      </c>
      <c r="I30" s="49" t="s">
        <v>91</v>
      </c>
      <c r="J30" s="49" t="s">
        <v>92</v>
      </c>
      <c r="K30" s="49" t="s">
        <v>93</v>
      </c>
      <c r="L30" s="50" t="s">
        <v>94</v>
      </c>
      <c r="M30" s="47" t="s">
        <v>88</v>
      </c>
      <c r="N30" s="54" t="s">
        <v>84</v>
      </c>
      <c r="O30" s="55" t="s">
        <v>95</v>
      </c>
      <c r="P30" s="56" t="s">
        <v>96</v>
      </c>
      <c r="Q30" s="57" t="s">
        <v>97</v>
      </c>
      <c r="R30" s="57" t="s">
        <v>98</v>
      </c>
      <c r="S30" s="49" t="s">
        <v>71</v>
      </c>
    </row>
    <row r="31" ht="81" customHeight="1" spans="1:19" x14ac:dyDescent="0.25">
      <c r="A31" s="33">
        <v>3</v>
      </c>
      <c r="B31" s="34" t="s">
        <v>99</v>
      </c>
      <c r="C31" s="35" t="s">
        <v>100</v>
      </c>
      <c r="D31" s="36" t="s">
        <v>88</v>
      </c>
      <c r="E31" s="37" t="s">
        <v>77</v>
      </c>
      <c r="F31" s="38" t="s">
        <v>78</v>
      </c>
      <c r="G31" s="35" t="s">
        <v>89</v>
      </c>
      <c r="H31" s="39" t="s">
        <v>101</v>
      </c>
      <c r="I31" s="35" t="s">
        <v>102</v>
      </c>
      <c r="J31" s="35" t="s">
        <v>103</v>
      </c>
      <c r="K31" s="35" t="s">
        <v>104</v>
      </c>
      <c r="L31" s="36" t="s">
        <v>105</v>
      </c>
      <c r="M31" s="33" t="s">
        <v>88</v>
      </c>
      <c r="N31" s="45" t="s">
        <v>84</v>
      </c>
      <c r="O31" s="41" t="s">
        <v>69</v>
      </c>
      <c r="P31" s="56" t="s">
        <v>96</v>
      </c>
      <c r="Q31" s="58" t="s">
        <v>97</v>
      </c>
      <c r="R31" s="58" t="s">
        <v>98</v>
      </c>
      <c r="S31" s="35" t="s">
        <v>71</v>
      </c>
    </row>
    <row r="32" ht="81" customHeight="1" spans="1:19" x14ac:dyDescent="0.25">
      <c r="A32" s="47">
        <v>4</v>
      </c>
      <c r="B32" s="48" t="s">
        <v>106</v>
      </c>
      <c r="C32" s="49" t="s">
        <v>107</v>
      </c>
      <c r="D32" s="50" t="s">
        <v>88</v>
      </c>
      <c r="E32" s="51" t="s">
        <v>77</v>
      </c>
      <c r="F32" s="52" t="s">
        <v>78</v>
      </c>
      <c r="G32" s="49" t="s">
        <v>89</v>
      </c>
      <c r="H32" s="53" t="s">
        <v>108</v>
      </c>
      <c r="I32" s="49" t="s">
        <v>109</v>
      </c>
      <c r="J32" s="49" t="s">
        <v>110</v>
      </c>
      <c r="K32" s="49" t="s">
        <v>111</v>
      </c>
      <c r="L32" s="50" t="s">
        <v>112</v>
      </c>
      <c r="M32" s="47" t="s">
        <v>88</v>
      </c>
      <c r="N32" s="54" t="s">
        <v>84</v>
      </c>
      <c r="O32" s="59" t="s">
        <v>69</v>
      </c>
      <c r="P32" s="56" t="s">
        <v>96</v>
      </c>
      <c r="Q32" s="57" t="s">
        <v>97</v>
      </c>
      <c r="R32" s="57" t="s">
        <v>98</v>
      </c>
      <c r="S32" s="49" t="s">
        <v>71</v>
      </c>
    </row>
    <row r="33" ht="81" customHeight="1" spans="1:19" x14ac:dyDescent="0.25">
      <c r="A33" s="33">
        <v>5</v>
      </c>
      <c r="B33" s="34" t="s">
        <v>113</v>
      </c>
      <c r="C33" s="35" t="s">
        <v>114</v>
      </c>
      <c r="D33" s="36" t="s">
        <v>88</v>
      </c>
      <c r="E33" s="37" t="s">
        <v>77</v>
      </c>
      <c r="F33" s="38" t="s">
        <v>78</v>
      </c>
      <c r="G33" s="35" t="s">
        <v>89</v>
      </c>
      <c r="H33" s="39" t="s">
        <v>115</v>
      </c>
      <c r="I33" s="35" t="s">
        <v>116</v>
      </c>
      <c r="J33" s="35" t="s">
        <v>117</v>
      </c>
      <c r="K33" s="35" t="s">
        <v>118</v>
      </c>
      <c r="L33" s="36" t="s">
        <v>119</v>
      </c>
      <c r="M33" s="33" t="s">
        <v>88</v>
      </c>
      <c r="N33" s="45" t="s">
        <v>84</v>
      </c>
      <c r="O33" s="46" t="s">
        <v>85</v>
      </c>
      <c r="P33" s="56" t="s">
        <v>96</v>
      </c>
      <c r="Q33" s="58" t="s">
        <v>97</v>
      </c>
      <c r="R33" s="58" t="s">
        <v>98</v>
      </c>
      <c r="S33" s="35" t="s">
        <v>71</v>
      </c>
    </row>
    <row r="34" ht="201" customHeight="1" spans="1:19" x14ac:dyDescent="0.25">
      <c r="A34" s="47">
        <v>6</v>
      </c>
      <c r="B34" s="48" t="s">
        <v>120</v>
      </c>
      <c r="C34" s="49" t="s">
        <v>121</v>
      </c>
      <c r="D34" s="50" t="s">
        <v>88</v>
      </c>
      <c r="E34" s="51" t="s">
        <v>77</v>
      </c>
      <c r="F34" s="52" t="s">
        <v>78</v>
      </c>
      <c r="G34" s="49" t="s">
        <v>122</v>
      </c>
      <c r="H34" s="53" t="s">
        <v>123</v>
      </c>
      <c r="I34" s="49" t="s">
        <v>124</v>
      </c>
      <c r="J34" s="49" t="s">
        <v>125</v>
      </c>
      <c r="K34" s="49" t="s">
        <v>126</v>
      </c>
      <c r="L34" s="50" t="s">
        <v>127</v>
      </c>
      <c r="M34" s="47" t="s">
        <v>88</v>
      </c>
      <c r="N34" s="54" t="s">
        <v>84</v>
      </c>
      <c r="O34" s="55" t="s">
        <v>95</v>
      </c>
      <c r="P34" s="56" t="s">
        <v>96</v>
      </c>
      <c r="Q34" s="57" t="s">
        <v>97</v>
      </c>
      <c r="R34" s="57" t="s">
        <v>98</v>
      </c>
      <c r="S34" s="49" t="s">
        <v>71</v>
      </c>
    </row>
    <row r="35" ht="171" customHeight="1" spans="1:19" x14ac:dyDescent="0.25">
      <c r="A35" s="33">
        <v>7</v>
      </c>
      <c r="B35" s="34" t="s">
        <v>128</v>
      </c>
      <c r="C35" s="35" t="s">
        <v>129</v>
      </c>
      <c r="D35" s="36" t="s">
        <v>88</v>
      </c>
      <c r="E35" s="37" t="s">
        <v>77</v>
      </c>
      <c r="F35" s="38" t="s">
        <v>78</v>
      </c>
      <c r="G35" s="35" t="s">
        <v>122</v>
      </c>
      <c r="H35" s="39" t="s">
        <v>130</v>
      </c>
      <c r="I35" s="35" t="s">
        <v>131</v>
      </c>
      <c r="J35" s="35" t="s">
        <v>132</v>
      </c>
      <c r="K35" s="35" t="s">
        <v>133</v>
      </c>
      <c r="L35" s="36" t="s">
        <v>134</v>
      </c>
      <c r="M35" s="33" t="s">
        <v>88</v>
      </c>
      <c r="N35" s="45" t="s">
        <v>84</v>
      </c>
      <c r="O35" s="41" t="s">
        <v>69</v>
      </c>
      <c r="P35" s="56" t="s">
        <v>96</v>
      </c>
      <c r="Q35" s="58" t="s">
        <v>97</v>
      </c>
      <c r="R35" s="58" t="s">
        <v>98</v>
      </c>
      <c r="S35" s="35" t="s">
        <v>71</v>
      </c>
    </row>
    <row r="36" ht="231" customHeight="1" spans="1:19" x14ac:dyDescent="0.25">
      <c r="A36" s="47">
        <v>8</v>
      </c>
      <c r="B36" s="48" t="s">
        <v>135</v>
      </c>
      <c r="C36" s="49" t="s">
        <v>136</v>
      </c>
      <c r="D36" s="50" t="s">
        <v>88</v>
      </c>
      <c r="E36" s="51" t="s">
        <v>77</v>
      </c>
      <c r="F36" s="52" t="s">
        <v>78</v>
      </c>
      <c r="G36" s="49" t="s">
        <v>137</v>
      </c>
      <c r="H36" s="53" t="s">
        <v>138</v>
      </c>
      <c r="I36" s="49" t="s">
        <v>139</v>
      </c>
      <c r="J36" s="49" t="s">
        <v>140</v>
      </c>
      <c r="K36" s="49" t="s">
        <v>141</v>
      </c>
      <c r="L36" s="50" t="s">
        <v>142</v>
      </c>
      <c r="M36" s="47" t="s">
        <v>88</v>
      </c>
      <c r="N36" s="54" t="s">
        <v>84</v>
      </c>
      <c r="O36" s="59" t="s">
        <v>69</v>
      </c>
      <c r="P36" s="56" t="s">
        <v>96</v>
      </c>
      <c r="Q36" s="57" t="s">
        <v>97</v>
      </c>
      <c r="R36" s="57" t="s">
        <v>98</v>
      </c>
      <c r="S36" s="49" t="s">
        <v>71</v>
      </c>
    </row>
    <row r="37" ht="171" customHeight="1" spans="1:19" x14ac:dyDescent="0.25">
      <c r="A37" s="33">
        <v>9</v>
      </c>
      <c r="B37" s="34" t="s">
        <v>143</v>
      </c>
      <c r="C37" s="35" t="s">
        <v>144</v>
      </c>
      <c r="D37" s="36" t="s">
        <v>88</v>
      </c>
      <c r="E37" s="37" t="s">
        <v>77</v>
      </c>
      <c r="F37" s="38" t="s">
        <v>78</v>
      </c>
      <c r="G37" s="35" t="s">
        <v>122</v>
      </c>
      <c r="H37" s="39" t="s">
        <v>145</v>
      </c>
      <c r="I37" s="35" t="s">
        <v>146</v>
      </c>
      <c r="J37" s="35" t="s">
        <v>147</v>
      </c>
      <c r="K37" s="35" t="s">
        <v>148</v>
      </c>
      <c r="L37" s="36" t="s">
        <v>149</v>
      </c>
      <c r="M37" s="33" t="s">
        <v>88</v>
      </c>
      <c r="N37" s="45" t="s">
        <v>84</v>
      </c>
      <c r="O37" s="41" t="s">
        <v>69</v>
      </c>
      <c r="P37" s="56" t="s">
        <v>96</v>
      </c>
      <c r="Q37" s="58" t="s">
        <v>97</v>
      </c>
      <c r="R37" s="58" t="s">
        <v>98</v>
      </c>
      <c r="S37" s="35" t="s">
        <v>71</v>
      </c>
    </row>
    <row r="38" ht="216" customHeight="1" spans="1:19" x14ac:dyDescent="0.25">
      <c r="A38" s="47">
        <v>10</v>
      </c>
      <c r="B38" s="48" t="s">
        <v>150</v>
      </c>
      <c r="C38" s="49" t="s">
        <v>151</v>
      </c>
      <c r="D38" s="50" t="s">
        <v>88</v>
      </c>
      <c r="E38" s="51" t="s">
        <v>77</v>
      </c>
      <c r="F38" s="52" t="s">
        <v>78</v>
      </c>
      <c r="G38" s="49" t="s">
        <v>152</v>
      </c>
      <c r="H38" s="53" t="s">
        <v>153</v>
      </c>
      <c r="I38" s="49" t="s">
        <v>154</v>
      </c>
      <c r="J38" s="49" t="s">
        <v>155</v>
      </c>
      <c r="K38" s="49" t="s">
        <v>156</v>
      </c>
      <c r="L38" s="50" t="s">
        <v>157</v>
      </c>
      <c r="M38" s="47" t="s">
        <v>88</v>
      </c>
      <c r="N38" s="54" t="s">
        <v>84</v>
      </c>
      <c r="O38" s="60" t="s">
        <v>85</v>
      </c>
      <c r="P38" s="56" t="s">
        <v>96</v>
      </c>
      <c r="Q38" s="57" t="s">
        <v>97</v>
      </c>
      <c r="R38" s="57" t="s">
        <v>98</v>
      </c>
      <c r="S38" s="49" t="s">
        <v>71</v>
      </c>
    </row>
    <row r="39" ht="126" customHeight="1" spans="1:19" x14ac:dyDescent="0.25">
      <c r="A39" s="33">
        <v>11</v>
      </c>
      <c r="B39" s="34" t="s">
        <v>158</v>
      </c>
      <c r="C39" s="35" t="s">
        <v>159</v>
      </c>
      <c r="D39" s="36" t="s">
        <v>88</v>
      </c>
      <c r="E39" s="37" t="s">
        <v>77</v>
      </c>
      <c r="F39" s="38" t="s">
        <v>78</v>
      </c>
      <c r="G39" s="35" t="s">
        <v>160</v>
      </c>
      <c r="H39" s="39" t="s">
        <v>161</v>
      </c>
      <c r="I39" s="35" t="s">
        <v>162</v>
      </c>
      <c r="J39" s="35" t="s">
        <v>163</v>
      </c>
      <c r="K39" s="35" t="s">
        <v>164</v>
      </c>
      <c r="L39" s="36" t="s">
        <v>165</v>
      </c>
      <c r="M39" s="33" t="s">
        <v>88</v>
      </c>
      <c r="N39" s="45" t="s">
        <v>84</v>
      </c>
      <c r="O39" s="46" t="s">
        <v>85</v>
      </c>
      <c r="P39" s="56" t="s">
        <v>96</v>
      </c>
      <c r="Q39" s="58" t="s">
        <v>166</v>
      </c>
      <c r="R39" s="58" t="s">
        <v>167</v>
      </c>
      <c r="S39" s="35" t="s">
        <v>71</v>
      </c>
    </row>
    <row r="40" ht="81" customHeight="1" spans="1:19" x14ac:dyDescent="0.25">
      <c r="A40" s="47">
        <v>12</v>
      </c>
      <c r="B40" s="48" t="s">
        <v>168</v>
      </c>
      <c r="C40" s="49" t="s">
        <v>169</v>
      </c>
      <c r="D40" s="50" t="s">
        <v>170</v>
      </c>
      <c r="E40" s="51" t="s">
        <v>77</v>
      </c>
      <c r="F40" s="52" t="s">
        <v>78</v>
      </c>
      <c r="G40" s="49" t="s">
        <v>61</v>
      </c>
      <c r="H40" s="53" t="s">
        <v>171</v>
      </c>
      <c r="I40" s="49" t="s">
        <v>172</v>
      </c>
      <c r="J40" s="49" t="s">
        <v>173</v>
      </c>
      <c r="K40" s="49" t="s">
        <v>174</v>
      </c>
      <c r="L40" s="50" t="s">
        <v>175</v>
      </c>
      <c r="M40" s="47" t="s">
        <v>67</v>
      </c>
      <c r="N40" s="54" t="s">
        <v>84</v>
      </c>
      <c r="O40" s="59" t="s">
        <v>69</v>
      </c>
      <c r="P40" s="42" t="s">
        <v>70</v>
      </c>
      <c r="Q40" s="61" t="s">
        <v>61</v>
      </c>
      <c r="R40" s="62" t="s">
        <v>71</v>
      </c>
      <c r="S40" s="49" t="s">
        <v>71</v>
      </c>
    </row>
    <row r="41" ht="126" customHeight="1" spans="1:19" x14ac:dyDescent="0.25">
      <c r="A41" s="33">
        <v>13</v>
      </c>
      <c r="B41" s="34" t="s">
        <v>176</v>
      </c>
      <c r="C41" s="35" t="s">
        <v>177</v>
      </c>
      <c r="D41" s="36" t="s">
        <v>170</v>
      </c>
      <c r="E41" s="37" t="s">
        <v>77</v>
      </c>
      <c r="F41" s="38" t="s">
        <v>78</v>
      </c>
      <c r="G41" s="35" t="s">
        <v>178</v>
      </c>
      <c r="H41" s="39" t="s">
        <v>179</v>
      </c>
      <c r="I41" s="35" t="s">
        <v>180</v>
      </c>
      <c r="J41" s="35" t="s">
        <v>181</v>
      </c>
      <c r="K41" s="35" t="s">
        <v>182</v>
      </c>
      <c r="L41" s="36" t="s">
        <v>183</v>
      </c>
      <c r="M41" s="33" t="s">
        <v>67</v>
      </c>
      <c r="N41" s="45" t="s">
        <v>84</v>
      </c>
      <c r="O41" s="41" t="s">
        <v>69</v>
      </c>
      <c r="P41" s="42" t="s">
        <v>70</v>
      </c>
      <c r="Q41" s="43" t="s">
        <v>61</v>
      </c>
      <c r="R41" s="44" t="s">
        <v>71</v>
      </c>
      <c r="S41" s="35" t="s">
        <v>71</v>
      </c>
    </row>
    <row r="42" ht="96" customHeight="1" spans="1:19" x14ac:dyDescent="0.25">
      <c r="A42" s="47">
        <v>14</v>
      </c>
      <c r="B42" s="48" t="s">
        <v>184</v>
      </c>
      <c r="C42" s="49" t="s">
        <v>185</v>
      </c>
      <c r="D42" s="50" t="s">
        <v>170</v>
      </c>
      <c r="E42" s="51" t="s">
        <v>77</v>
      </c>
      <c r="F42" s="52" t="s">
        <v>78</v>
      </c>
      <c r="G42" s="49" t="s">
        <v>61</v>
      </c>
      <c r="H42" s="53" t="s">
        <v>186</v>
      </c>
      <c r="I42" s="49" t="s">
        <v>187</v>
      </c>
      <c r="J42" s="49" t="s">
        <v>188</v>
      </c>
      <c r="K42" s="49" t="s">
        <v>189</v>
      </c>
      <c r="L42" s="50" t="s">
        <v>190</v>
      </c>
      <c r="M42" s="47" t="s">
        <v>191</v>
      </c>
      <c r="N42" s="54" t="s">
        <v>84</v>
      </c>
      <c r="O42" s="59" t="s">
        <v>69</v>
      </c>
      <c r="P42" s="42" t="s">
        <v>70</v>
      </c>
      <c r="Q42" s="61" t="s">
        <v>61</v>
      </c>
      <c r="R42" s="62" t="s">
        <v>71</v>
      </c>
      <c r="S42" s="49" t="s">
        <v>71</v>
      </c>
    </row>
    <row r="43" ht="141" customHeight="1" spans="1:19" x14ac:dyDescent="0.25">
      <c r="A43" s="33">
        <v>15</v>
      </c>
      <c r="B43" s="34" t="s">
        <v>192</v>
      </c>
      <c r="C43" s="35" t="s">
        <v>193</v>
      </c>
      <c r="D43" s="36" t="s">
        <v>170</v>
      </c>
      <c r="E43" s="37" t="s">
        <v>77</v>
      </c>
      <c r="F43" s="38" t="s">
        <v>78</v>
      </c>
      <c r="G43" s="35" t="s">
        <v>61</v>
      </c>
      <c r="H43" s="39" t="s">
        <v>194</v>
      </c>
      <c r="I43" s="35" t="s">
        <v>195</v>
      </c>
      <c r="J43" s="35" t="s">
        <v>196</v>
      </c>
      <c r="K43" s="35" t="s">
        <v>197</v>
      </c>
      <c r="L43" s="36" t="s">
        <v>198</v>
      </c>
      <c r="M43" s="33" t="s">
        <v>67</v>
      </c>
      <c r="N43" s="45" t="s">
        <v>84</v>
      </c>
      <c r="O43" s="46" t="s">
        <v>85</v>
      </c>
      <c r="P43" s="42" t="s">
        <v>70</v>
      </c>
      <c r="Q43" s="43" t="s">
        <v>61</v>
      </c>
      <c r="R43" s="44" t="s">
        <v>71</v>
      </c>
      <c r="S43" s="35" t="s">
        <v>71</v>
      </c>
    </row>
    <row r="44" ht="141" customHeight="1" spans="1:19" x14ac:dyDescent="0.25">
      <c r="A44" s="47">
        <v>16</v>
      </c>
      <c r="B44" s="48" t="s">
        <v>199</v>
      </c>
      <c r="C44" s="49" t="s">
        <v>200</v>
      </c>
      <c r="D44" s="50" t="s">
        <v>201</v>
      </c>
      <c r="E44" s="51" t="s">
        <v>77</v>
      </c>
      <c r="F44" s="52" t="s">
        <v>78</v>
      </c>
      <c r="G44" s="49" t="s">
        <v>61</v>
      </c>
      <c r="H44" s="53" t="s">
        <v>202</v>
      </c>
      <c r="I44" s="49" t="s">
        <v>203</v>
      </c>
      <c r="J44" s="49" t="s">
        <v>204</v>
      </c>
      <c r="K44" s="49" t="s">
        <v>205</v>
      </c>
      <c r="L44" s="50" t="s">
        <v>206</v>
      </c>
      <c r="M44" s="47" t="s">
        <v>207</v>
      </c>
      <c r="N44" s="63" t="s">
        <v>68</v>
      </c>
      <c r="O44" s="55" t="s">
        <v>95</v>
      </c>
      <c r="P44" s="42" t="s">
        <v>70</v>
      </c>
      <c r="Q44" s="61" t="s">
        <v>61</v>
      </c>
      <c r="R44" s="62" t="s">
        <v>71</v>
      </c>
      <c r="S44" s="49" t="s">
        <v>71</v>
      </c>
    </row>
    <row r="45" ht="96" customHeight="1" spans="1:19" x14ac:dyDescent="0.25">
      <c r="A45" s="33">
        <v>17</v>
      </c>
      <c r="B45" s="34" t="s">
        <v>208</v>
      </c>
      <c r="C45" s="35" t="s">
        <v>209</v>
      </c>
      <c r="D45" s="36" t="s">
        <v>210</v>
      </c>
      <c r="E45" s="37" t="s">
        <v>77</v>
      </c>
      <c r="F45" s="38" t="s">
        <v>78</v>
      </c>
      <c r="G45" s="35" t="s">
        <v>61</v>
      </c>
      <c r="H45" s="39" t="s">
        <v>211</v>
      </c>
      <c r="I45" s="35" t="s">
        <v>212</v>
      </c>
      <c r="J45" s="35" t="s">
        <v>213</v>
      </c>
      <c r="K45" s="35" t="s">
        <v>214</v>
      </c>
      <c r="L45" s="36" t="s">
        <v>215</v>
      </c>
      <c r="M45" s="33" t="s">
        <v>67</v>
      </c>
      <c r="N45" s="40" t="s">
        <v>68</v>
      </c>
      <c r="O45" s="64" t="s">
        <v>95</v>
      </c>
      <c r="P45" s="42" t="s">
        <v>70</v>
      </c>
      <c r="Q45" s="43" t="s">
        <v>61</v>
      </c>
      <c r="R45" s="44" t="s">
        <v>71</v>
      </c>
      <c r="S45" s="35" t="s">
        <v>71</v>
      </c>
    </row>
    <row r="46" ht="141" customHeight="1" spans="1:19" x14ac:dyDescent="0.25">
      <c r="A46" s="47">
        <v>18</v>
      </c>
      <c r="B46" s="48" t="s">
        <v>216</v>
      </c>
      <c r="C46" s="49" t="s">
        <v>217</v>
      </c>
      <c r="D46" s="50" t="s">
        <v>210</v>
      </c>
      <c r="E46" s="51" t="s">
        <v>77</v>
      </c>
      <c r="F46" s="52" t="s">
        <v>78</v>
      </c>
      <c r="G46" s="49" t="s">
        <v>61</v>
      </c>
      <c r="H46" s="53" t="s">
        <v>218</v>
      </c>
      <c r="I46" s="49" t="s">
        <v>219</v>
      </c>
      <c r="J46" s="49" t="s">
        <v>220</v>
      </c>
      <c r="K46" s="49" t="s">
        <v>221</v>
      </c>
      <c r="L46" s="50" t="s">
        <v>222</v>
      </c>
      <c r="M46" s="47" t="s">
        <v>67</v>
      </c>
      <c r="N46" s="63" t="s">
        <v>68</v>
      </c>
      <c r="O46" s="55" t="s">
        <v>95</v>
      </c>
      <c r="P46" s="42" t="s">
        <v>70</v>
      </c>
      <c r="Q46" s="61" t="s">
        <v>61</v>
      </c>
      <c r="R46" s="62" t="s">
        <v>71</v>
      </c>
      <c r="S46" s="49" t="s">
        <v>71</v>
      </c>
    </row>
    <row r="47" ht="126" customHeight="1" spans="1:19" x14ac:dyDescent="0.25">
      <c r="A47" s="33">
        <v>19</v>
      </c>
      <c r="B47" s="34" t="s">
        <v>223</v>
      </c>
      <c r="C47" s="35" t="s">
        <v>224</v>
      </c>
      <c r="D47" s="36" t="s">
        <v>210</v>
      </c>
      <c r="E47" s="37" t="s">
        <v>77</v>
      </c>
      <c r="F47" s="38" t="s">
        <v>78</v>
      </c>
      <c r="G47" s="35" t="s">
        <v>61</v>
      </c>
      <c r="H47" s="39" t="s">
        <v>225</v>
      </c>
      <c r="I47" s="35" t="s">
        <v>226</v>
      </c>
      <c r="J47" s="35" t="s">
        <v>227</v>
      </c>
      <c r="K47" s="35" t="s">
        <v>228</v>
      </c>
      <c r="L47" s="36" t="s">
        <v>229</v>
      </c>
      <c r="M47" s="33" t="s">
        <v>191</v>
      </c>
      <c r="N47" s="45" t="s">
        <v>84</v>
      </c>
      <c r="O47" s="41" t="s">
        <v>69</v>
      </c>
      <c r="P47" s="42" t="s">
        <v>70</v>
      </c>
      <c r="Q47" s="43" t="s">
        <v>61</v>
      </c>
      <c r="R47" s="44" t="s">
        <v>71</v>
      </c>
      <c r="S47" s="35" t="s">
        <v>71</v>
      </c>
    </row>
    <row r="48" ht="96" customHeight="1" spans="1:19" x14ac:dyDescent="0.25">
      <c r="A48" s="47">
        <v>20</v>
      </c>
      <c r="B48" s="48" t="s">
        <v>230</v>
      </c>
      <c r="C48" s="49" t="s">
        <v>231</v>
      </c>
      <c r="D48" s="50" t="s">
        <v>210</v>
      </c>
      <c r="E48" s="51" t="s">
        <v>77</v>
      </c>
      <c r="F48" s="52" t="s">
        <v>78</v>
      </c>
      <c r="G48" s="49" t="s">
        <v>61</v>
      </c>
      <c r="H48" s="53" t="s">
        <v>232</v>
      </c>
      <c r="I48" s="49" t="s">
        <v>233</v>
      </c>
      <c r="J48" s="49" t="s">
        <v>234</v>
      </c>
      <c r="K48" s="49" t="s">
        <v>235</v>
      </c>
      <c r="L48" s="50" t="s">
        <v>236</v>
      </c>
      <c r="M48" s="47" t="s">
        <v>191</v>
      </c>
      <c r="N48" s="54" t="s">
        <v>84</v>
      </c>
      <c r="O48" s="60" t="s">
        <v>85</v>
      </c>
      <c r="P48" s="42" t="s">
        <v>70</v>
      </c>
      <c r="Q48" s="61" t="s">
        <v>61</v>
      </c>
      <c r="R48" s="62" t="s">
        <v>71</v>
      </c>
      <c r="S48" s="49" t="s">
        <v>71</v>
      </c>
    </row>
    <row r="49" ht="96" customHeight="1" spans="1:19" x14ac:dyDescent="0.25">
      <c r="A49" s="33">
        <v>21</v>
      </c>
      <c r="B49" s="34" t="s">
        <v>237</v>
      </c>
      <c r="C49" s="35" t="s">
        <v>238</v>
      </c>
      <c r="D49" s="36" t="s">
        <v>210</v>
      </c>
      <c r="E49" s="37" t="s">
        <v>77</v>
      </c>
      <c r="F49" s="38" t="s">
        <v>78</v>
      </c>
      <c r="G49" s="35" t="s">
        <v>61</v>
      </c>
      <c r="H49" s="39" t="s">
        <v>239</v>
      </c>
      <c r="I49" s="35" t="s">
        <v>240</v>
      </c>
      <c r="J49" s="35" t="s">
        <v>241</v>
      </c>
      <c r="K49" s="35" t="s">
        <v>242</v>
      </c>
      <c r="L49" s="36" t="s">
        <v>243</v>
      </c>
      <c r="M49" s="33" t="s">
        <v>67</v>
      </c>
      <c r="N49" s="45" t="s">
        <v>84</v>
      </c>
      <c r="O49" s="46" t="s">
        <v>85</v>
      </c>
      <c r="P49" s="42" t="s">
        <v>70</v>
      </c>
      <c r="Q49" s="43" t="s">
        <v>61</v>
      </c>
      <c r="R49" s="44" t="s">
        <v>71</v>
      </c>
      <c r="S49" s="35" t="s">
        <v>71</v>
      </c>
    </row>
    <row r="50" ht="96" customHeight="1" spans="1:19" x14ac:dyDescent="0.25">
      <c r="A50" s="47">
        <v>22</v>
      </c>
      <c r="B50" s="48" t="s">
        <v>244</v>
      </c>
      <c r="C50" s="49" t="s">
        <v>245</v>
      </c>
      <c r="D50" s="50" t="s">
        <v>210</v>
      </c>
      <c r="E50" s="51" t="s">
        <v>77</v>
      </c>
      <c r="F50" s="52" t="s">
        <v>78</v>
      </c>
      <c r="G50" s="49" t="s">
        <v>61</v>
      </c>
      <c r="H50" s="53" t="s">
        <v>246</v>
      </c>
      <c r="I50" s="49" t="s">
        <v>247</v>
      </c>
      <c r="J50" s="49" t="s">
        <v>248</v>
      </c>
      <c r="K50" s="49" t="s">
        <v>249</v>
      </c>
      <c r="L50" s="50" t="s">
        <v>250</v>
      </c>
      <c r="M50" s="47" t="s">
        <v>191</v>
      </c>
      <c r="N50" s="54" t="s">
        <v>84</v>
      </c>
      <c r="O50" s="60" t="s">
        <v>85</v>
      </c>
      <c r="P50" s="42" t="s">
        <v>70</v>
      </c>
      <c r="Q50" s="61" t="s">
        <v>61</v>
      </c>
      <c r="R50" s="62" t="s">
        <v>71</v>
      </c>
      <c r="S50" s="49" t="s">
        <v>71</v>
      </c>
    </row>
    <row r="51" ht="81" customHeight="1" spans="1:19" x14ac:dyDescent="0.25">
      <c r="A51" s="33">
        <v>23</v>
      </c>
      <c r="B51" s="34" t="s">
        <v>251</v>
      </c>
      <c r="C51" s="35" t="s">
        <v>252</v>
      </c>
      <c r="D51" s="36" t="s">
        <v>210</v>
      </c>
      <c r="E51" s="37" t="s">
        <v>77</v>
      </c>
      <c r="F51" s="38" t="s">
        <v>78</v>
      </c>
      <c r="G51" s="35" t="s">
        <v>61</v>
      </c>
      <c r="H51" s="39" t="s">
        <v>253</v>
      </c>
      <c r="I51" s="35" t="s">
        <v>254</v>
      </c>
      <c r="J51" s="35" t="s">
        <v>255</v>
      </c>
      <c r="K51" s="35" t="s">
        <v>256</v>
      </c>
      <c r="L51" s="36" t="s">
        <v>257</v>
      </c>
      <c r="M51" s="33" t="s">
        <v>191</v>
      </c>
      <c r="N51" s="45" t="s">
        <v>84</v>
      </c>
      <c r="O51" s="46" t="s">
        <v>85</v>
      </c>
      <c r="P51" s="42" t="s">
        <v>70</v>
      </c>
      <c r="Q51" s="43" t="s">
        <v>61</v>
      </c>
      <c r="R51" s="44" t="s">
        <v>71</v>
      </c>
      <c r="S51" s="35" t="s">
        <v>71</v>
      </c>
    </row>
    <row r="52" ht="111" customHeight="1" spans="1:19" x14ac:dyDescent="0.25">
      <c r="A52" s="47">
        <v>24</v>
      </c>
      <c r="B52" s="48" t="s">
        <v>258</v>
      </c>
      <c r="C52" s="49" t="s">
        <v>259</v>
      </c>
      <c r="D52" s="50" t="s">
        <v>210</v>
      </c>
      <c r="E52" s="51" t="s">
        <v>77</v>
      </c>
      <c r="F52" s="52" t="s">
        <v>78</v>
      </c>
      <c r="G52" s="49" t="s">
        <v>260</v>
      </c>
      <c r="H52" s="53" t="s">
        <v>261</v>
      </c>
      <c r="I52" s="49" t="s">
        <v>262</v>
      </c>
      <c r="J52" s="49" t="s">
        <v>263</v>
      </c>
      <c r="K52" s="49" t="s">
        <v>264</v>
      </c>
      <c r="L52" s="50" t="s">
        <v>265</v>
      </c>
      <c r="M52" s="47" t="s">
        <v>191</v>
      </c>
      <c r="N52" s="54" t="s">
        <v>84</v>
      </c>
      <c r="O52" s="59" t="s">
        <v>69</v>
      </c>
      <c r="P52" s="42" t="s">
        <v>70</v>
      </c>
      <c r="Q52" s="61" t="s">
        <v>61</v>
      </c>
      <c r="R52" s="62" t="s">
        <v>71</v>
      </c>
      <c r="S52" s="49" t="s">
        <v>71</v>
      </c>
    </row>
    <row r="53" ht="111" customHeight="1" spans="1:19" x14ac:dyDescent="0.25">
      <c r="A53" s="33">
        <v>25</v>
      </c>
      <c r="B53" s="34" t="s">
        <v>266</v>
      </c>
      <c r="C53" s="35" t="s">
        <v>267</v>
      </c>
      <c r="D53" s="36" t="s">
        <v>210</v>
      </c>
      <c r="E53" s="37" t="s">
        <v>77</v>
      </c>
      <c r="F53" s="38" t="s">
        <v>78</v>
      </c>
      <c r="G53" s="35" t="s">
        <v>260</v>
      </c>
      <c r="H53" s="39" t="s">
        <v>268</v>
      </c>
      <c r="I53" s="35" t="s">
        <v>269</v>
      </c>
      <c r="J53" s="35" t="s">
        <v>270</v>
      </c>
      <c r="K53" s="35" t="s">
        <v>271</v>
      </c>
      <c r="L53" s="36" t="s">
        <v>272</v>
      </c>
      <c r="M53" s="33" t="s">
        <v>67</v>
      </c>
      <c r="N53" s="45" t="s">
        <v>84</v>
      </c>
      <c r="O53" s="41" t="s">
        <v>69</v>
      </c>
      <c r="P53" s="42" t="s">
        <v>70</v>
      </c>
      <c r="Q53" s="43" t="s">
        <v>61</v>
      </c>
      <c r="R53" s="44" t="s">
        <v>71</v>
      </c>
      <c r="S53" s="35" t="s">
        <v>71</v>
      </c>
    </row>
    <row r="54" ht="111" customHeight="1" spans="1:19" x14ac:dyDescent="0.25">
      <c r="A54" s="47">
        <v>26</v>
      </c>
      <c r="B54" s="48" t="s">
        <v>273</v>
      </c>
      <c r="C54" s="49" t="s">
        <v>274</v>
      </c>
      <c r="D54" s="50" t="s">
        <v>210</v>
      </c>
      <c r="E54" s="51" t="s">
        <v>77</v>
      </c>
      <c r="F54" s="52" t="s">
        <v>78</v>
      </c>
      <c r="G54" s="49" t="s">
        <v>61</v>
      </c>
      <c r="H54" s="53" t="s">
        <v>275</v>
      </c>
      <c r="I54" s="49" t="s">
        <v>276</v>
      </c>
      <c r="J54" s="49" t="s">
        <v>277</v>
      </c>
      <c r="K54" s="49" t="s">
        <v>278</v>
      </c>
      <c r="L54" s="50" t="s">
        <v>279</v>
      </c>
      <c r="M54" s="47" t="s">
        <v>191</v>
      </c>
      <c r="N54" s="54" t="s">
        <v>84</v>
      </c>
      <c r="O54" s="59" t="s">
        <v>69</v>
      </c>
      <c r="P54" s="42" t="s">
        <v>70</v>
      </c>
      <c r="Q54" s="61" t="s">
        <v>61</v>
      </c>
      <c r="R54" s="62" t="s">
        <v>71</v>
      </c>
      <c r="S54" s="49" t="s">
        <v>71</v>
      </c>
    </row>
    <row r="55" ht="141" customHeight="1" spans="1:19" x14ac:dyDescent="0.25">
      <c r="A55" s="33">
        <v>27</v>
      </c>
      <c r="B55" s="34" t="s">
        <v>280</v>
      </c>
      <c r="C55" s="35" t="s">
        <v>281</v>
      </c>
      <c r="D55" s="36" t="s">
        <v>210</v>
      </c>
      <c r="E55" s="37" t="s">
        <v>77</v>
      </c>
      <c r="F55" s="38" t="s">
        <v>78</v>
      </c>
      <c r="G55" s="35" t="s">
        <v>61</v>
      </c>
      <c r="H55" s="39" t="s">
        <v>282</v>
      </c>
      <c r="I55" s="35" t="s">
        <v>283</v>
      </c>
      <c r="J55" s="35" t="s">
        <v>284</v>
      </c>
      <c r="K55" s="35" t="s">
        <v>285</v>
      </c>
      <c r="L55" s="36" t="s">
        <v>286</v>
      </c>
      <c r="M55" s="33" t="s">
        <v>207</v>
      </c>
      <c r="N55" s="45" t="s">
        <v>84</v>
      </c>
      <c r="O55" s="41" t="s">
        <v>69</v>
      </c>
      <c r="P55" s="42" t="s">
        <v>70</v>
      </c>
      <c r="Q55" s="43" t="s">
        <v>61</v>
      </c>
      <c r="R55" s="44" t="s">
        <v>71</v>
      </c>
      <c r="S55" s="35" t="s">
        <v>71</v>
      </c>
    </row>
    <row r="56" ht="126" customHeight="1" spans="1:19" x14ac:dyDescent="0.25">
      <c r="A56" s="47">
        <v>28</v>
      </c>
      <c r="B56" s="48" t="s">
        <v>287</v>
      </c>
      <c r="C56" s="49" t="s">
        <v>288</v>
      </c>
      <c r="D56" s="50" t="s">
        <v>210</v>
      </c>
      <c r="E56" s="51" t="s">
        <v>77</v>
      </c>
      <c r="F56" s="52" t="s">
        <v>78</v>
      </c>
      <c r="G56" s="49" t="s">
        <v>61</v>
      </c>
      <c r="H56" s="53" t="s">
        <v>289</v>
      </c>
      <c r="I56" s="49" t="s">
        <v>290</v>
      </c>
      <c r="J56" s="49" t="s">
        <v>291</v>
      </c>
      <c r="K56" s="49" t="s">
        <v>292</v>
      </c>
      <c r="L56" s="50" t="s">
        <v>293</v>
      </c>
      <c r="M56" s="47" t="s">
        <v>207</v>
      </c>
      <c r="N56" s="54" t="s">
        <v>84</v>
      </c>
      <c r="O56" s="55" t="s">
        <v>95</v>
      </c>
      <c r="P56" s="42" t="s">
        <v>70</v>
      </c>
      <c r="Q56" s="61" t="s">
        <v>61</v>
      </c>
      <c r="R56" s="62" t="s">
        <v>71</v>
      </c>
      <c r="S56" s="49" t="s">
        <v>71</v>
      </c>
    </row>
    <row r="57" ht="111" customHeight="1" spans="1:19" x14ac:dyDescent="0.25">
      <c r="A57" s="33">
        <v>29</v>
      </c>
      <c r="B57" s="34" t="s">
        <v>294</v>
      </c>
      <c r="C57" s="35" t="s">
        <v>295</v>
      </c>
      <c r="D57" s="36" t="s">
        <v>210</v>
      </c>
      <c r="E57" s="37" t="s">
        <v>77</v>
      </c>
      <c r="F57" s="38" t="s">
        <v>78</v>
      </c>
      <c r="G57" s="35" t="s">
        <v>61</v>
      </c>
      <c r="H57" s="39" t="s">
        <v>296</v>
      </c>
      <c r="I57" s="35" t="s">
        <v>297</v>
      </c>
      <c r="J57" s="35" t="s">
        <v>298</v>
      </c>
      <c r="K57" s="35" t="s">
        <v>299</v>
      </c>
      <c r="L57" s="36" t="s">
        <v>300</v>
      </c>
      <c r="M57" s="33" t="s">
        <v>67</v>
      </c>
      <c r="N57" s="45" t="s">
        <v>84</v>
      </c>
      <c r="O57" s="41" t="s">
        <v>69</v>
      </c>
      <c r="P57" s="42" t="s">
        <v>70</v>
      </c>
      <c r="Q57" s="43" t="s">
        <v>61</v>
      </c>
      <c r="R57" s="44" t="s">
        <v>71</v>
      </c>
      <c r="S57" s="35" t="s">
        <v>71</v>
      </c>
    </row>
    <row r="58" ht="96" customHeight="1" spans="1:19" x14ac:dyDescent="0.25">
      <c r="A58" s="47">
        <v>30</v>
      </c>
      <c r="B58" s="48" t="s">
        <v>301</v>
      </c>
      <c r="C58" s="49" t="s">
        <v>302</v>
      </c>
      <c r="D58" s="50" t="s">
        <v>210</v>
      </c>
      <c r="E58" s="51" t="s">
        <v>77</v>
      </c>
      <c r="F58" s="52" t="s">
        <v>78</v>
      </c>
      <c r="G58" s="49" t="s">
        <v>61</v>
      </c>
      <c r="H58" s="53" t="s">
        <v>303</v>
      </c>
      <c r="I58" s="49" t="s">
        <v>304</v>
      </c>
      <c r="J58" s="49" t="s">
        <v>305</v>
      </c>
      <c r="K58" s="49" t="s">
        <v>306</v>
      </c>
      <c r="L58" s="50" t="s">
        <v>307</v>
      </c>
      <c r="M58" s="47" t="s">
        <v>67</v>
      </c>
      <c r="N58" s="54" t="s">
        <v>84</v>
      </c>
      <c r="O58" s="60" t="s">
        <v>85</v>
      </c>
      <c r="P58" s="42" t="s">
        <v>70</v>
      </c>
      <c r="Q58" s="61" t="s">
        <v>61</v>
      </c>
      <c r="R58" s="62" t="s">
        <v>71</v>
      </c>
      <c r="S58" s="49" t="s">
        <v>71</v>
      </c>
    </row>
    <row r="59" ht="96" customHeight="1" spans="1:19" x14ac:dyDescent="0.25">
      <c r="A59" s="33">
        <v>31</v>
      </c>
      <c r="B59" s="34" t="s">
        <v>308</v>
      </c>
      <c r="C59" s="35" t="s">
        <v>309</v>
      </c>
      <c r="D59" s="36" t="s">
        <v>210</v>
      </c>
      <c r="E59" s="37" t="s">
        <v>77</v>
      </c>
      <c r="F59" s="38" t="s">
        <v>78</v>
      </c>
      <c r="G59" s="35" t="s">
        <v>61</v>
      </c>
      <c r="H59" s="39" t="s">
        <v>310</v>
      </c>
      <c r="I59" s="35" t="s">
        <v>311</v>
      </c>
      <c r="J59" s="35" t="s">
        <v>312</v>
      </c>
      <c r="K59" s="35" t="s">
        <v>313</v>
      </c>
      <c r="L59" s="36" t="s">
        <v>314</v>
      </c>
      <c r="M59" s="33" t="s">
        <v>191</v>
      </c>
      <c r="N59" s="45" t="s">
        <v>84</v>
      </c>
      <c r="O59" s="46" t="s">
        <v>85</v>
      </c>
      <c r="P59" s="42" t="s">
        <v>70</v>
      </c>
      <c r="Q59" s="43" t="s">
        <v>61</v>
      </c>
      <c r="R59" s="44" t="s">
        <v>71</v>
      </c>
      <c r="S59" s="35" t="s">
        <v>71</v>
      </c>
    </row>
    <row r="60" ht="96" customHeight="1" spans="1:19" x14ac:dyDescent="0.25">
      <c r="A60" s="47">
        <v>32</v>
      </c>
      <c r="B60" s="48" t="s">
        <v>315</v>
      </c>
      <c r="C60" s="49" t="s">
        <v>316</v>
      </c>
      <c r="D60" s="50" t="s">
        <v>210</v>
      </c>
      <c r="E60" s="51" t="s">
        <v>77</v>
      </c>
      <c r="F60" s="52" t="s">
        <v>78</v>
      </c>
      <c r="G60" s="49" t="s">
        <v>61</v>
      </c>
      <c r="H60" s="53" t="s">
        <v>317</v>
      </c>
      <c r="I60" s="49" t="s">
        <v>318</v>
      </c>
      <c r="J60" s="49" t="s">
        <v>319</v>
      </c>
      <c r="K60" s="49" t="s">
        <v>320</v>
      </c>
      <c r="L60" s="50" t="s">
        <v>321</v>
      </c>
      <c r="M60" s="47" t="s">
        <v>191</v>
      </c>
      <c r="N60" s="54" t="s">
        <v>84</v>
      </c>
      <c r="O60" s="60" t="s">
        <v>85</v>
      </c>
      <c r="P60" s="42" t="s">
        <v>70</v>
      </c>
      <c r="Q60" s="61" t="s">
        <v>61</v>
      </c>
      <c r="R60" s="62" t="s">
        <v>71</v>
      </c>
      <c r="S60" s="49" t="s">
        <v>71</v>
      </c>
    </row>
    <row r="61" ht="126" customHeight="1" spans="1:19" x14ac:dyDescent="0.25">
      <c r="A61" s="33">
        <v>33</v>
      </c>
      <c r="B61" s="34" t="s">
        <v>322</v>
      </c>
      <c r="C61" s="35" t="s">
        <v>323</v>
      </c>
      <c r="D61" s="36" t="s">
        <v>210</v>
      </c>
      <c r="E61" s="37" t="s">
        <v>77</v>
      </c>
      <c r="F61" s="38" t="s">
        <v>78</v>
      </c>
      <c r="G61" s="35" t="s">
        <v>61</v>
      </c>
      <c r="H61" s="39" t="s">
        <v>324</v>
      </c>
      <c r="I61" s="35" t="s">
        <v>325</v>
      </c>
      <c r="J61" s="35" t="s">
        <v>326</v>
      </c>
      <c r="K61" s="35" t="s">
        <v>327</v>
      </c>
      <c r="L61" s="36" t="s">
        <v>328</v>
      </c>
      <c r="M61" s="33" t="s">
        <v>67</v>
      </c>
      <c r="N61" s="45" t="s">
        <v>84</v>
      </c>
      <c r="O61" s="46" t="s">
        <v>85</v>
      </c>
      <c r="P61" s="42" t="s">
        <v>70</v>
      </c>
      <c r="Q61" s="43" t="s">
        <v>61</v>
      </c>
      <c r="R61" s="44" t="s">
        <v>71</v>
      </c>
      <c r="S61" s="35" t="s">
        <v>71</v>
      </c>
    </row>
    <row r="62" ht="96" customHeight="1" spans="1:19" x14ac:dyDescent="0.25">
      <c r="A62" s="47">
        <v>34</v>
      </c>
      <c r="B62" s="48" t="s">
        <v>329</v>
      </c>
      <c r="C62" s="49" t="s">
        <v>330</v>
      </c>
      <c r="D62" s="50" t="s">
        <v>210</v>
      </c>
      <c r="E62" s="51" t="s">
        <v>77</v>
      </c>
      <c r="F62" s="52" t="s">
        <v>78</v>
      </c>
      <c r="G62" s="49" t="s">
        <v>61</v>
      </c>
      <c r="H62" s="53" t="s">
        <v>331</v>
      </c>
      <c r="I62" s="49" t="s">
        <v>332</v>
      </c>
      <c r="J62" s="49" t="s">
        <v>333</v>
      </c>
      <c r="K62" s="49" t="s">
        <v>334</v>
      </c>
      <c r="L62" s="50" t="s">
        <v>335</v>
      </c>
      <c r="M62" s="47" t="s">
        <v>67</v>
      </c>
      <c r="N62" s="54" t="s">
        <v>84</v>
      </c>
      <c r="O62" s="60" t="s">
        <v>85</v>
      </c>
      <c r="P62" s="42" t="s">
        <v>70</v>
      </c>
      <c r="Q62" s="61" t="s">
        <v>61</v>
      </c>
      <c r="R62" s="62" t="s">
        <v>71</v>
      </c>
      <c r="S62" s="49" t="s">
        <v>71</v>
      </c>
    </row>
    <row r="63" ht="81" customHeight="1" spans="1:19" x14ac:dyDescent="0.25">
      <c r="A63" s="33">
        <v>35</v>
      </c>
      <c r="B63" s="34" t="s">
        <v>336</v>
      </c>
      <c r="C63" s="35" t="s">
        <v>337</v>
      </c>
      <c r="D63" s="36" t="s">
        <v>210</v>
      </c>
      <c r="E63" s="37" t="s">
        <v>77</v>
      </c>
      <c r="F63" s="38" t="s">
        <v>78</v>
      </c>
      <c r="G63" s="35" t="s">
        <v>61</v>
      </c>
      <c r="H63" s="39" t="s">
        <v>338</v>
      </c>
      <c r="I63" s="35" t="s">
        <v>339</v>
      </c>
      <c r="J63" s="35" t="s">
        <v>340</v>
      </c>
      <c r="K63" s="35" t="s">
        <v>341</v>
      </c>
      <c r="L63" s="36" t="s">
        <v>342</v>
      </c>
      <c r="M63" s="33" t="s">
        <v>67</v>
      </c>
      <c r="N63" s="45" t="s">
        <v>84</v>
      </c>
      <c r="O63" s="41" t="s">
        <v>69</v>
      </c>
      <c r="P63" s="42" t="s">
        <v>70</v>
      </c>
      <c r="Q63" s="43" t="s">
        <v>61</v>
      </c>
      <c r="R63" s="44" t="s">
        <v>71</v>
      </c>
      <c r="S63" s="35" t="s">
        <v>71</v>
      </c>
    </row>
    <row r="64" ht="96" customHeight="1" spans="1:19" x14ac:dyDescent="0.25">
      <c r="A64" s="47">
        <v>36</v>
      </c>
      <c r="B64" s="48" t="s">
        <v>343</v>
      </c>
      <c r="C64" s="49" t="s">
        <v>344</v>
      </c>
      <c r="D64" s="50" t="s">
        <v>210</v>
      </c>
      <c r="E64" s="51" t="s">
        <v>77</v>
      </c>
      <c r="F64" s="52" t="s">
        <v>78</v>
      </c>
      <c r="G64" s="49" t="s">
        <v>61</v>
      </c>
      <c r="H64" s="53" t="s">
        <v>345</v>
      </c>
      <c r="I64" s="49" t="s">
        <v>346</v>
      </c>
      <c r="J64" s="49" t="s">
        <v>347</v>
      </c>
      <c r="K64" s="49" t="s">
        <v>348</v>
      </c>
      <c r="L64" s="50" t="s">
        <v>349</v>
      </c>
      <c r="M64" s="47" t="s">
        <v>67</v>
      </c>
      <c r="N64" s="54" t="s">
        <v>84</v>
      </c>
      <c r="O64" s="60" t="s">
        <v>85</v>
      </c>
      <c r="P64" s="42" t="s">
        <v>70</v>
      </c>
      <c r="Q64" s="61" t="s">
        <v>61</v>
      </c>
      <c r="R64" s="62" t="s">
        <v>71</v>
      </c>
      <c r="S64" s="49" t="s">
        <v>71</v>
      </c>
    </row>
    <row r="65" ht="141" customHeight="1" spans="1:19" x14ac:dyDescent="0.25">
      <c r="A65" s="33">
        <v>37</v>
      </c>
      <c r="B65" s="34" t="s">
        <v>350</v>
      </c>
      <c r="C65" s="35" t="s">
        <v>351</v>
      </c>
      <c r="D65" s="36" t="s">
        <v>210</v>
      </c>
      <c r="E65" s="37" t="s">
        <v>77</v>
      </c>
      <c r="F65" s="38" t="s">
        <v>78</v>
      </c>
      <c r="G65" s="35" t="s">
        <v>352</v>
      </c>
      <c r="H65" s="39" t="s">
        <v>353</v>
      </c>
      <c r="I65" s="35" t="s">
        <v>354</v>
      </c>
      <c r="J65" s="35" t="s">
        <v>355</v>
      </c>
      <c r="K65" s="35" t="s">
        <v>356</v>
      </c>
      <c r="L65" s="36" t="s">
        <v>357</v>
      </c>
      <c r="M65" s="33" t="s">
        <v>191</v>
      </c>
      <c r="N65" s="45" t="s">
        <v>84</v>
      </c>
      <c r="O65" s="46" t="s">
        <v>85</v>
      </c>
      <c r="P65" s="56" t="s">
        <v>96</v>
      </c>
      <c r="Q65" s="58" t="s">
        <v>358</v>
      </c>
      <c r="R65" s="58" t="s">
        <v>359</v>
      </c>
      <c r="S65" s="35" t="s">
        <v>71</v>
      </c>
    </row>
    <row r="66" ht="96" customHeight="1" spans="1:19" x14ac:dyDescent="0.25">
      <c r="A66" s="47">
        <v>38</v>
      </c>
      <c r="B66" s="48" t="s">
        <v>360</v>
      </c>
      <c r="C66" s="49" t="s">
        <v>361</v>
      </c>
      <c r="D66" s="50" t="s">
        <v>210</v>
      </c>
      <c r="E66" s="51" t="s">
        <v>77</v>
      </c>
      <c r="F66" s="52" t="s">
        <v>78</v>
      </c>
      <c r="G66" s="49" t="s">
        <v>61</v>
      </c>
      <c r="H66" s="53" t="s">
        <v>362</v>
      </c>
      <c r="I66" s="49" t="s">
        <v>363</v>
      </c>
      <c r="J66" s="49" t="s">
        <v>364</v>
      </c>
      <c r="K66" s="49" t="s">
        <v>365</v>
      </c>
      <c r="L66" s="50" t="s">
        <v>366</v>
      </c>
      <c r="M66" s="47" t="s">
        <v>67</v>
      </c>
      <c r="N66" s="54" t="s">
        <v>84</v>
      </c>
      <c r="O66" s="65" t="s">
        <v>367</v>
      </c>
      <c r="P66" s="42" t="s">
        <v>70</v>
      </c>
      <c r="Q66" s="61" t="s">
        <v>61</v>
      </c>
      <c r="R66" s="62" t="s">
        <v>71</v>
      </c>
      <c r="S66" s="49" t="s">
        <v>71</v>
      </c>
    </row>
    <row r="67" ht="66" customHeight="1" spans="1:19" x14ac:dyDescent="0.25">
      <c r="A67" s="33">
        <v>39</v>
      </c>
      <c r="B67" s="34" t="s">
        <v>368</v>
      </c>
      <c r="C67" s="35" t="s">
        <v>369</v>
      </c>
      <c r="D67" s="36" t="s">
        <v>210</v>
      </c>
      <c r="E67" s="37" t="s">
        <v>77</v>
      </c>
      <c r="F67" s="38" t="s">
        <v>78</v>
      </c>
      <c r="G67" s="35" t="s">
        <v>61</v>
      </c>
      <c r="H67" s="39" t="s">
        <v>370</v>
      </c>
      <c r="I67" s="35" t="s">
        <v>371</v>
      </c>
      <c r="J67" s="35" t="s">
        <v>372</v>
      </c>
      <c r="K67" s="35" t="s">
        <v>373</v>
      </c>
      <c r="L67" s="36" t="s">
        <v>374</v>
      </c>
      <c r="M67" s="33" t="s">
        <v>191</v>
      </c>
      <c r="N67" s="45" t="s">
        <v>84</v>
      </c>
      <c r="O67" s="66" t="s">
        <v>367</v>
      </c>
      <c r="P67" s="42" t="s">
        <v>70</v>
      </c>
      <c r="Q67" s="43" t="s">
        <v>61</v>
      </c>
      <c r="R67" s="44" t="s">
        <v>71</v>
      </c>
      <c r="S67" s="35" t="s">
        <v>71</v>
      </c>
    </row>
    <row r="68" ht="81" customHeight="1" spans="1:19" x14ac:dyDescent="0.25">
      <c r="A68" s="47">
        <v>40</v>
      </c>
      <c r="B68" s="48" t="s">
        <v>375</v>
      </c>
      <c r="C68" s="49" t="s">
        <v>376</v>
      </c>
      <c r="D68" s="50" t="s">
        <v>210</v>
      </c>
      <c r="E68" s="51" t="s">
        <v>77</v>
      </c>
      <c r="F68" s="52" t="s">
        <v>78</v>
      </c>
      <c r="G68" s="49" t="s">
        <v>61</v>
      </c>
      <c r="H68" s="53" t="s">
        <v>377</v>
      </c>
      <c r="I68" s="49" t="s">
        <v>378</v>
      </c>
      <c r="J68" s="49" t="s">
        <v>379</v>
      </c>
      <c r="K68" s="49" t="s">
        <v>380</v>
      </c>
      <c r="L68" s="50" t="s">
        <v>381</v>
      </c>
      <c r="M68" s="47" t="s">
        <v>67</v>
      </c>
      <c r="N68" s="54" t="s">
        <v>84</v>
      </c>
      <c r="O68" s="59" t="s">
        <v>69</v>
      </c>
      <c r="P68" s="42" t="s">
        <v>70</v>
      </c>
      <c r="Q68" s="61" t="s">
        <v>61</v>
      </c>
      <c r="R68" s="62" t="s">
        <v>71</v>
      </c>
      <c r="S68" s="49" t="s">
        <v>71</v>
      </c>
    </row>
    <row r="69" ht="96" customHeight="1" spans="1:19" x14ac:dyDescent="0.25">
      <c r="A69" s="33">
        <v>41</v>
      </c>
      <c r="B69" s="34" t="s">
        <v>382</v>
      </c>
      <c r="C69" s="35" t="s">
        <v>383</v>
      </c>
      <c r="D69" s="36" t="s">
        <v>210</v>
      </c>
      <c r="E69" s="37" t="s">
        <v>77</v>
      </c>
      <c r="F69" s="38" t="s">
        <v>78</v>
      </c>
      <c r="G69" s="35" t="s">
        <v>61</v>
      </c>
      <c r="H69" s="39" t="s">
        <v>384</v>
      </c>
      <c r="I69" s="35" t="s">
        <v>385</v>
      </c>
      <c r="J69" s="35" t="s">
        <v>386</v>
      </c>
      <c r="K69" s="35" t="s">
        <v>387</v>
      </c>
      <c r="L69" s="36" t="s">
        <v>388</v>
      </c>
      <c r="M69" s="33" t="s">
        <v>67</v>
      </c>
      <c r="N69" s="45" t="s">
        <v>84</v>
      </c>
      <c r="O69" s="46" t="s">
        <v>85</v>
      </c>
      <c r="P69" s="42" t="s">
        <v>70</v>
      </c>
      <c r="Q69" s="43" t="s">
        <v>61</v>
      </c>
      <c r="R69" s="44" t="s">
        <v>71</v>
      </c>
      <c r="S69" s="35" t="s">
        <v>71</v>
      </c>
    </row>
    <row r="70" ht="111" customHeight="1" spans="1:19" x14ac:dyDescent="0.25">
      <c r="A70" s="47">
        <v>42</v>
      </c>
      <c r="B70" s="48" t="s">
        <v>389</v>
      </c>
      <c r="C70" s="49" t="s">
        <v>390</v>
      </c>
      <c r="D70" s="50" t="s">
        <v>391</v>
      </c>
      <c r="E70" s="51" t="s">
        <v>77</v>
      </c>
      <c r="F70" s="52" t="s">
        <v>78</v>
      </c>
      <c r="G70" s="49" t="s">
        <v>61</v>
      </c>
      <c r="H70" s="53" t="s">
        <v>211</v>
      </c>
      <c r="I70" s="49" t="s">
        <v>392</v>
      </c>
      <c r="J70" s="49" t="s">
        <v>393</v>
      </c>
      <c r="K70" s="49" t="s">
        <v>394</v>
      </c>
      <c r="L70" s="50" t="s">
        <v>395</v>
      </c>
      <c r="M70" s="47" t="s">
        <v>67</v>
      </c>
      <c r="N70" s="63" t="s">
        <v>68</v>
      </c>
      <c r="O70" s="55" t="s">
        <v>95</v>
      </c>
      <c r="P70" s="42" t="s">
        <v>70</v>
      </c>
      <c r="Q70" s="61" t="s">
        <v>61</v>
      </c>
      <c r="R70" s="62" t="s">
        <v>71</v>
      </c>
      <c r="S70" s="49" t="s">
        <v>71</v>
      </c>
    </row>
    <row r="71" ht="141" customHeight="1" spans="1:19" x14ac:dyDescent="0.25">
      <c r="A71" s="33">
        <v>43</v>
      </c>
      <c r="B71" s="34" t="s">
        <v>396</v>
      </c>
      <c r="C71" s="35" t="s">
        <v>397</v>
      </c>
      <c r="D71" s="36" t="s">
        <v>391</v>
      </c>
      <c r="E71" s="37" t="s">
        <v>77</v>
      </c>
      <c r="F71" s="38" t="s">
        <v>78</v>
      </c>
      <c r="G71" s="35" t="s">
        <v>398</v>
      </c>
      <c r="H71" s="39" t="s">
        <v>399</v>
      </c>
      <c r="I71" s="35" t="s">
        <v>400</v>
      </c>
      <c r="J71" s="35" t="s">
        <v>401</v>
      </c>
      <c r="K71" s="35" t="s">
        <v>402</v>
      </c>
      <c r="L71" s="36" t="s">
        <v>403</v>
      </c>
      <c r="M71" s="33" t="s">
        <v>88</v>
      </c>
      <c r="N71" s="40" t="s">
        <v>68</v>
      </c>
      <c r="O71" s="64" t="s">
        <v>95</v>
      </c>
      <c r="P71" s="56" t="s">
        <v>96</v>
      </c>
      <c r="Q71" s="58" t="s">
        <v>97</v>
      </c>
      <c r="R71" s="58" t="s">
        <v>98</v>
      </c>
      <c r="S71" s="35" t="s">
        <v>71</v>
      </c>
    </row>
    <row r="73" ht="28" customHeight="1" spans="1:19" x14ac:dyDescent="0.25">
      <c r="A73" s="30" t="s">
        <v>404</v>
      </c>
      <c r="B73" s="30"/>
      <c r="C73" s="30"/>
      <c r="D73" s="30"/>
      <c r="E73" s="30"/>
      <c r="F73" s="30"/>
      <c r="G73" s="30"/>
      <c r="H73" s="30"/>
      <c r="I73" s="30"/>
      <c r="J73" s="30"/>
      <c r="K73" s="30"/>
      <c r="L73" s="30"/>
      <c r="M73" s="30"/>
      <c r="N73" s="30"/>
      <c r="O73" s="30"/>
      <c r="P73" s="30"/>
      <c r="Q73" s="30"/>
      <c r="R73" s="30"/>
      <c r="S73" s="31" t="str">
        <f>HYPERLINK("#'Test Cases'!A5","↑ Summary")</f>
        <v>↑ Summary</v>
      </c>
    </row>
    <row r="74" ht="18" customHeight="1" spans="1:19" x14ac:dyDescent="0.25">
      <c r="A74" s="32" t="s">
        <v>405</v>
      </c>
      <c r="B74" s="32"/>
      <c r="C74" s="32"/>
      <c r="D74" s="32"/>
      <c r="E74" s="32"/>
      <c r="F74" s="32"/>
      <c r="G74" s="32"/>
      <c r="H74" s="32"/>
      <c r="I74" s="32"/>
      <c r="J74" s="32"/>
      <c r="K74" s="32"/>
      <c r="L74" s="32"/>
      <c r="M74" s="32"/>
      <c r="N74" s="32"/>
      <c r="O74" s="32"/>
      <c r="P74" s="32"/>
      <c r="Q74" s="32"/>
      <c r="R74" s="32"/>
      <c r="S74" s="32"/>
    </row>
    <row r="75" ht="30" customHeight="1" spans="1:19" x14ac:dyDescent="0.25">
      <c r="A75" s="11" t="s">
        <v>38</v>
      </c>
      <c r="B75" s="11" t="s">
        <v>39</v>
      </c>
      <c r="C75" s="11" t="s">
        <v>40</v>
      </c>
      <c r="D75" s="11" t="s">
        <v>41</v>
      </c>
      <c r="E75" s="11" t="s">
        <v>12</v>
      </c>
      <c r="F75" s="11" t="s">
        <v>42</v>
      </c>
      <c r="G75" s="11" t="s">
        <v>43</v>
      </c>
      <c r="H75" s="11" t="s">
        <v>44</v>
      </c>
      <c r="I75" s="11" t="s">
        <v>45</v>
      </c>
      <c r="J75" s="11" t="s">
        <v>46</v>
      </c>
      <c r="K75" s="11" t="s">
        <v>47</v>
      </c>
      <c r="L75" s="11" t="s">
        <v>48</v>
      </c>
      <c r="M75" s="11" t="s">
        <v>49</v>
      </c>
      <c r="N75" s="11" t="s">
        <v>50</v>
      </c>
      <c r="O75" s="11" t="s">
        <v>51</v>
      </c>
      <c r="P75" s="11" t="s">
        <v>52</v>
      </c>
      <c r="Q75" s="11" t="s">
        <v>53</v>
      </c>
      <c r="R75" s="11" t="s">
        <v>54</v>
      </c>
      <c r="S75" s="11" t="s">
        <v>55</v>
      </c>
    </row>
    <row r="76" ht="96" customHeight="1" spans="1:19" x14ac:dyDescent="0.25">
      <c r="A76" s="33">
        <v>1</v>
      </c>
      <c r="B76" s="34" t="s">
        <v>406</v>
      </c>
      <c r="C76" s="35" t="s">
        <v>407</v>
      </c>
      <c r="D76" s="36" t="s">
        <v>408</v>
      </c>
      <c r="E76" s="37" t="s">
        <v>409</v>
      </c>
      <c r="F76" s="38" t="s">
        <v>78</v>
      </c>
      <c r="G76" s="35" t="s">
        <v>61</v>
      </c>
      <c r="H76" s="39" t="s">
        <v>410</v>
      </c>
      <c r="I76" s="35" t="s">
        <v>411</v>
      </c>
      <c r="J76" s="35" t="s">
        <v>412</v>
      </c>
      <c r="K76" s="35" t="s">
        <v>413</v>
      </c>
      <c r="L76" s="36" t="s">
        <v>414</v>
      </c>
      <c r="M76" s="33" t="s">
        <v>67</v>
      </c>
      <c r="N76" s="40" t="s">
        <v>68</v>
      </c>
      <c r="O76" s="64" t="s">
        <v>95</v>
      </c>
      <c r="P76" s="42" t="s">
        <v>70</v>
      </c>
      <c r="Q76" s="43" t="s">
        <v>61</v>
      </c>
      <c r="R76" s="44" t="s">
        <v>71</v>
      </c>
      <c r="S76" s="35" t="s">
        <v>71</v>
      </c>
    </row>
    <row r="77" ht="111" customHeight="1" spans="1:19" x14ac:dyDescent="0.25">
      <c r="A77" s="47">
        <v>2</v>
      </c>
      <c r="B77" s="48" t="s">
        <v>415</v>
      </c>
      <c r="C77" s="49" t="s">
        <v>416</v>
      </c>
      <c r="D77" s="50" t="s">
        <v>408</v>
      </c>
      <c r="E77" s="51" t="s">
        <v>409</v>
      </c>
      <c r="F77" s="52" t="s">
        <v>78</v>
      </c>
      <c r="G77" s="49" t="s">
        <v>260</v>
      </c>
      <c r="H77" s="53" t="s">
        <v>417</v>
      </c>
      <c r="I77" s="49" t="s">
        <v>418</v>
      </c>
      <c r="J77" s="49" t="s">
        <v>419</v>
      </c>
      <c r="K77" s="49" t="s">
        <v>420</v>
      </c>
      <c r="L77" s="50" t="s">
        <v>421</v>
      </c>
      <c r="M77" s="47" t="s">
        <v>67</v>
      </c>
      <c r="N77" s="54" t="s">
        <v>84</v>
      </c>
      <c r="O77" s="60" t="s">
        <v>85</v>
      </c>
      <c r="P77" s="42" t="s">
        <v>70</v>
      </c>
      <c r="Q77" s="61" t="s">
        <v>61</v>
      </c>
      <c r="R77" s="62" t="s">
        <v>71</v>
      </c>
      <c r="S77" s="49" t="s">
        <v>71</v>
      </c>
    </row>
    <row r="78" ht="96" customHeight="1" spans="1:19" x14ac:dyDescent="0.25">
      <c r="A78" s="33">
        <v>3</v>
      </c>
      <c r="B78" s="34" t="s">
        <v>422</v>
      </c>
      <c r="C78" s="35" t="s">
        <v>423</v>
      </c>
      <c r="D78" s="36" t="s">
        <v>408</v>
      </c>
      <c r="E78" s="37" t="s">
        <v>409</v>
      </c>
      <c r="F78" s="38" t="s">
        <v>78</v>
      </c>
      <c r="G78" s="35" t="s">
        <v>61</v>
      </c>
      <c r="H78" s="39" t="s">
        <v>424</v>
      </c>
      <c r="I78" s="35" t="s">
        <v>425</v>
      </c>
      <c r="J78" s="35" t="s">
        <v>426</v>
      </c>
      <c r="K78" s="35" t="s">
        <v>427</v>
      </c>
      <c r="L78" s="36" t="s">
        <v>428</v>
      </c>
      <c r="M78" s="33" t="s">
        <v>191</v>
      </c>
      <c r="N78" s="45" t="s">
        <v>84</v>
      </c>
      <c r="O78" s="41" t="s">
        <v>69</v>
      </c>
      <c r="P78" s="42" t="s">
        <v>70</v>
      </c>
      <c r="Q78" s="43" t="s">
        <v>61</v>
      </c>
      <c r="R78" s="44" t="s">
        <v>71</v>
      </c>
      <c r="S78" s="35" t="s">
        <v>71</v>
      </c>
    </row>
    <row r="79" ht="81" customHeight="1" spans="1:19" x14ac:dyDescent="0.25">
      <c r="A79" s="47">
        <v>4</v>
      </c>
      <c r="B79" s="48" t="s">
        <v>429</v>
      </c>
      <c r="C79" s="49" t="s">
        <v>430</v>
      </c>
      <c r="D79" s="50" t="s">
        <v>408</v>
      </c>
      <c r="E79" s="51" t="s">
        <v>409</v>
      </c>
      <c r="F79" s="52" t="s">
        <v>78</v>
      </c>
      <c r="G79" s="49" t="s">
        <v>61</v>
      </c>
      <c r="H79" s="53" t="s">
        <v>431</v>
      </c>
      <c r="I79" s="49" t="s">
        <v>432</v>
      </c>
      <c r="J79" s="49" t="s">
        <v>433</v>
      </c>
      <c r="K79" s="49" t="s">
        <v>434</v>
      </c>
      <c r="L79" s="50" t="s">
        <v>435</v>
      </c>
      <c r="M79" s="47" t="s">
        <v>191</v>
      </c>
      <c r="N79" s="54" t="s">
        <v>84</v>
      </c>
      <c r="O79" s="60" t="s">
        <v>85</v>
      </c>
      <c r="P79" s="42" t="s">
        <v>70</v>
      </c>
      <c r="Q79" s="61" t="s">
        <v>61</v>
      </c>
      <c r="R79" s="62" t="s">
        <v>71</v>
      </c>
      <c r="S79" s="49" t="s">
        <v>71</v>
      </c>
    </row>
    <row r="80" ht="66" customHeight="1" spans="1:19" x14ac:dyDescent="0.25">
      <c r="A80" s="33">
        <v>5</v>
      </c>
      <c r="B80" s="34" t="s">
        <v>436</v>
      </c>
      <c r="C80" s="35" t="s">
        <v>437</v>
      </c>
      <c r="D80" s="36" t="s">
        <v>408</v>
      </c>
      <c r="E80" s="37" t="s">
        <v>409</v>
      </c>
      <c r="F80" s="38" t="s">
        <v>78</v>
      </c>
      <c r="G80" s="35" t="s">
        <v>61</v>
      </c>
      <c r="H80" s="39" t="s">
        <v>438</v>
      </c>
      <c r="I80" s="35" t="s">
        <v>439</v>
      </c>
      <c r="J80" s="35" t="s">
        <v>440</v>
      </c>
      <c r="K80" s="35" t="s">
        <v>256</v>
      </c>
      <c r="L80" s="36" t="s">
        <v>441</v>
      </c>
      <c r="M80" s="33" t="s">
        <v>191</v>
      </c>
      <c r="N80" s="45" t="s">
        <v>84</v>
      </c>
      <c r="O80" s="46" t="s">
        <v>85</v>
      </c>
      <c r="P80" s="42" t="s">
        <v>70</v>
      </c>
      <c r="Q80" s="43" t="s">
        <v>61</v>
      </c>
      <c r="R80" s="44" t="s">
        <v>71</v>
      </c>
      <c r="S80" s="35" t="s">
        <v>71</v>
      </c>
    </row>
    <row r="81" ht="96" customHeight="1" spans="1:19" x14ac:dyDescent="0.25">
      <c r="A81" s="47">
        <v>6</v>
      </c>
      <c r="B81" s="48" t="s">
        <v>442</v>
      </c>
      <c r="C81" s="49" t="s">
        <v>443</v>
      </c>
      <c r="D81" s="50" t="s">
        <v>408</v>
      </c>
      <c r="E81" s="51" t="s">
        <v>409</v>
      </c>
      <c r="F81" s="52" t="s">
        <v>78</v>
      </c>
      <c r="G81" s="49" t="s">
        <v>61</v>
      </c>
      <c r="H81" s="53" t="s">
        <v>444</v>
      </c>
      <c r="I81" s="49" t="s">
        <v>445</v>
      </c>
      <c r="J81" s="49" t="s">
        <v>446</v>
      </c>
      <c r="K81" s="49" t="s">
        <v>447</v>
      </c>
      <c r="L81" s="50" t="s">
        <v>448</v>
      </c>
      <c r="M81" s="47" t="s">
        <v>67</v>
      </c>
      <c r="N81" s="54" t="s">
        <v>84</v>
      </c>
      <c r="O81" s="59" t="s">
        <v>69</v>
      </c>
      <c r="P81" s="42" t="s">
        <v>70</v>
      </c>
      <c r="Q81" s="61" t="s">
        <v>61</v>
      </c>
      <c r="R81" s="62" t="s">
        <v>71</v>
      </c>
      <c r="S81" s="49" t="s">
        <v>71</v>
      </c>
    </row>
    <row r="82" ht="81" customHeight="1" spans="1:19" x14ac:dyDescent="0.25">
      <c r="A82" s="33">
        <v>7</v>
      </c>
      <c r="B82" s="34" t="s">
        <v>449</v>
      </c>
      <c r="C82" s="35" t="s">
        <v>450</v>
      </c>
      <c r="D82" s="36" t="s">
        <v>408</v>
      </c>
      <c r="E82" s="37" t="s">
        <v>409</v>
      </c>
      <c r="F82" s="38" t="s">
        <v>78</v>
      </c>
      <c r="G82" s="35" t="s">
        <v>61</v>
      </c>
      <c r="H82" s="39" t="s">
        <v>451</v>
      </c>
      <c r="I82" s="35" t="s">
        <v>452</v>
      </c>
      <c r="J82" s="35" t="s">
        <v>453</v>
      </c>
      <c r="K82" s="35" t="s">
        <v>454</v>
      </c>
      <c r="L82" s="36" t="s">
        <v>455</v>
      </c>
      <c r="M82" s="33" t="s">
        <v>191</v>
      </c>
      <c r="N82" s="45" t="s">
        <v>84</v>
      </c>
      <c r="O82" s="41" t="s">
        <v>69</v>
      </c>
      <c r="P82" s="42" t="s">
        <v>70</v>
      </c>
      <c r="Q82" s="43" t="s">
        <v>61</v>
      </c>
      <c r="R82" s="44" t="s">
        <v>71</v>
      </c>
      <c r="S82" s="35" t="s">
        <v>71</v>
      </c>
    </row>
    <row r="83" ht="66" customHeight="1" spans="1:19" x14ac:dyDescent="0.25">
      <c r="A83" s="47">
        <v>8</v>
      </c>
      <c r="B83" s="48" t="s">
        <v>456</v>
      </c>
      <c r="C83" s="49" t="s">
        <v>457</v>
      </c>
      <c r="D83" s="50" t="s">
        <v>408</v>
      </c>
      <c r="E83" s="51" t="s">
        <v>409</v>
      </c>
      <c r="F83" s="52" t="s">
        <v>78</v>
      </c>
      <c r="G83" s="49" t="s">
        <v>61</v>
      </c>
      <c r="H83" s="53" t="s">
        <v>458</v>
      </c>
      <c r="I83" s="49" t="s">
        <v>459</v>
      </c>
      <c r="J83" s="49" t="s">
        <v>460</v>
      </c>
      <c r="K83" s="49" t="s">
        <v>461</v>
      </c>
      <c r="L83" s="50" t="s">
        <v>462</v>
      </c>
      <c r="M83" s="47" t="s">
        <v>67</v>
      </c>
      <c r="N83" s="54" t="s">
        <v>84</v>
      </c>
      <c r="O83" s="65" t="s">
        <v>367</v>
      </c>
      <c r="P83" s="42" t="s">
        <v>70</v>
      </c>
      <c r="Q83" s="61" t="s">
        <v>61</v>
      </c>
      <c r="R83" s="62" t="s">
        <v>71</v>
      </c>
      <c r="S83" s="49" t="s">
        <v>71</v>
      </c>
    </row>
    <row r="84" ht="111" customHeight="1" spans="1:19" x14ac:dyDescent="0.25">
      <c r="A84" s="33">
        <v>9</v>
      </c>
      <c r="B84" s="34" t="s">
        <v>463</v>
      </c>
      <c r="C84" s="35" t="s">
        <v>464</v>
      </c>
      <c r="D84" s="36" t="s">
        <v>408</v>
      </c>
      <c r="E84" s="37" t="s">
        <v>409</v>
      </c>
      <c r="F84" s="38" t="s">
        <v>78</v>
      </c>
      <c r="G84" s="35" t="s">
        <v>61</v>
      </c>
      <c r="H84" s="39" t="s">
        <v>465</v>
      </c>
      <c r="I84" s="35" t="s">
        <v>466</v>
      </c>
      <c r="J84" s="35" t="s">
        <v>467</v>
      </c>
      <c r="K84" s="35" t="s">
        <v>468</v>
      </c>
      <c r="L84" s="36" t="s">
        <v>469</v>
      </c>
      <c r="M84" s="33" t="s">
        <v>191</v>
      </c>
      <c r="N84" s="45" t="s">
        <v>84</v>
      </c>
      <c r="O84" s="46" t="s">
        <v>85</v>
      </c>
      <c r="P84" s="42" t="s">
        <v>70</v>
      </c>
      <c r="Q84" s="43" t="s">
        <v>61</v>
      </c>
      <c r="R84" s="44" t="s">
        <v>71</v>
      </c>
      <c r="S84" s="35" t="s">
        <v>71</v>
      </c>
    </row>
    <row r="85" ht="96" customHeight="1" spans="1:19" x14ac:dyDescent="0.25">
      <c r="A85" s="47">
        <v>10</v>
      </c>
      <c r="B85" s="48" t="s">
        <v>470</v>
      </c>
      <c r="C85" s="49" t="s">
        <v>471</v>
      </c>
      <c r="D85" s="50" t="s">
        <v>391</v>
      </c>
      <c r="E85" s="51" t="s">
        <v>409</v>
      </c>
      <c r="F85" s="52" t="s">
        <v>78</v>
      </c>
      <c r="G85" s="49" t="s">
        <v>61</v>
      </c>
      <c r="H85" s="53" t="s">
        <v>171</v>
      </c>
      <c r="I85" s="49" t="s">
        <v>472</v>
      </c>
      <c r="J85" s="49" t="s">
        <v>473</v>
      </c>
      <c r="K85" s="49" t="s">
        <v>474</v>
      </c>
      <c r="L85" s="50" t="s">
        <v>475</v>
      </c>
      <c r="M85" s="47" t="s">
        <v>67</v>
      </c>
      <c r="N85" s="63" t="s">
        <v>68</v>
      </c>
      <c r="O85" s="55" t="s">
        <v>95</v>
      </c>
      <c r="P85" s="42" t="s">
        <v>70</v>
      </c>
      <c r="Q85" s="61" t="s">
        <v>61</v>
      </c>
      <c r="R85" s="62" t="s">
        <v>71</v>
      </c>
      <c r="S85" s="49" t="s">
        <v>71</v>
      </c>
    </row>
    <row r="87" ht="28" customHeight="1" spans="1:19" x14ac:dyDescent="0.25">
      <c r="A87" s="30" t="s">
        <v>476</v>
      </c>
      <c r="B87" s="30"/>
      <c r="C87" s="30"/>
      <c r="D87" s="30"/>
      <c r="E87" s="30"/>
      <c r="F87" s="30"/>
      <c r="G87" s="30"/>
      <c r="H87" s="30"/>
      <c r="I87" s="30"/>
      <c r="J87" s="30"/>
      <c r="K87" s="30"/>
      <c r="L87" s="30"/>
      <c r="M87" s="30"/>
      <c r="N87" s="30"/>
      <c r="O87" s="30"/>
      <c r="P87" s="30"/>
      <c r="Q87" s="30"/>
      <c r="R87" s="30"/>
      <c r="S87" s="31" t="str">
        <f>HYPERLINK("#'Test Cases'!A5","↑ Summary")</f>
        <v>↑ Summary</v>
      </c>
    </row>
    <row r="88" ht="18" customHeight="1" spans="1:19" x14ac:dyDescent="0.25">
      <c r="A88" s="32" t="s">
        <v>477</v>
      </c>
      <c r="B88" s="32"/>
      <c r="C88" s="32"/>
      <c r="D88" s="32"/>
      <c r="E88" s="32"/>
      <c r="F88" s="32"/>
      <c r="G88" s="32"/>
      <c r="H88" s="32"/>
      <c r="I88" s="32"/>
      <c r="J88" s="32"/>
      <c r="K88" s="32"/>
      <c r="L88" s="32"/>
      <c r="M88" s="32"/>
      <c r="N88" s="32"/>
      <c r="O88" s="32"/>
      <c r="P88" s="32"/>
      <c r="Q88" s="32"/>
      <c r="R88" s="32"/>
      <c r="S88" s="32"/>
    </row>
    <row r="89" ht="30" customHeight="1" spans="1:19" x14ac:dyDescent="0.25">
      <c r="A89" s="11" t="s">
        <v>38</v>
      </c>
      <c r="B89" s="11" t="s">
        <v>39</v>
      </c>
      <c r="C89" s="11" t="s">
        <v>40</v>
      </c>
      <c r="D89" s="11" t="s">
        <v>41</v>
      </c>
      <c r="E89" s="11" t="s">
        <v>12</v>
      </c>
      <c r="F89" s="11" t="s">
        <v>42</v>
      </c>
      <c r="G89" s="11" t="s">
        <v>43</v>
      </c>
      <c r="H89" s="11" t="s">
        <v>44</v>
      </c>
      <c r="I89" s="11" t="s">
        <v>45</v>
      </c>
      <c r="J89" s="11" t="s">
        <v>46</v>
      </c>
      <c r="K89" s="11" t="s">
        <v>47</v>
      </c>
      <c r="L89" s="11" t="s">
        <v>48</v>
      </c>
      <c r="M89" s="11" t="s">
        <v>49</v>
      </c>
      <c r="N89" s="11" t="s">
        <v>50</v>
      </c>
      <c r="O89" s="11" t="s">
        <v>51</v>
      </c>
      <c r="P89" s="11" t="s">
        <v>52</v>
      </c>
      <c r="Q89" s="11" t="s">
        <v>53</v>
      </c>
      <c r="R89" s="11" t="s">
        <v>54</v>
      </c>
      <c r="S89" s="11" t="s">
        <v>55</v>
      </c>
    </row>
    <row r="90" ht="111" customHeight="1" spans="1:19" x14ac:dyDescent="0.25">
      <c r="A90" s="33">
        <v>1</v>
      </c>
      <c r="B90" s="34" t="s">
        <v>478</v>
      </c>
      <c r="C90" s="35" t="s">
        <v>479</v>
      </c>
      <c r="D90" s="36" t="s">
        <v>480</v>
      </c>
      <c r="E90" s="37" t="s">
        <v>481</v>
      </c>
      <c r="F90" s="38" t="s">
        <v>78</v>
      </c>
      <c r="G90" s="35" t="s">
        <v>482</v>
      </c>
      <c r="H90" s="39" t="s">
        <v>483</v>
      </c>
      <c r="I90" s="35" t="s">
        <v>484</v>
      </c>
      <c r="J90" s="35" t="s">
        <v>485</v>
      </c>
      <c r="K90" s="35" t="s">
        <v>486</v>
      </c>
      <c r="L90" s="36" t="s">
        <v>487</v>
      </c>
      <c r="M90" s="33" t="s">
        <v>67</v>
      </c>
      <c r="N90" s="45" t="s">
        <v>84</v>
      </c>
      <c r="O90" s="41" t="s">
        <v>69</v>
      </c>
      <c r="P90" s="42" t="s">
        <v>70</v>
      </c>
      <c r="Q90" s="43" t="s">
        <v>61</v>
      </c>
      <c r="R90" s="44" t="s">
        <v>71</v>
      </c>
      <c r="S90" s="35" t="s">
        <v>71</v>
      </c>
    </row>
    <row r="91" ht="111" customHeight="1" spans="1:19" x14ac:dyDescent="0.25">
      <c r="A91" s="47">
        <v>2</v>
      </c>
      <c r="B91" s="48" t="s">
        <v>488</v>
      </c>
      <c r="C91" s="49" t="s">
        <v>489</v>
      </c>
      <c r="D91" s="50" t="s">
        <v>480</v>
      </c>
      <c r="E91" s="51" t="s">
        <v>481</v>
      </c>
      <c r="F91" s="52" t="s">
        <v>78</v>
      </c>
      <c r="G91" s="49" t="s">
        <v>482</v>
      </c>
      <c r="H91" s="53" t="s">
        <v>490</v>
      </c>
      <c r="I91" s="49" t="s">
        <v>491</v>
      </c>
      <c r="J91" s="49" t="s">
        <v>492</v>
      </c>
      <c r="K91" s="49" t="s">
        <v>493</v>
      </c>
      <c r="L91" s="50" t="s">
        <v>494</v>
      </c>
      <c r="M91" s="47" t="s">
        <v>67</v>
      </c>
      <c r="N91" s="54" t="s">
        <v>84</v>
      </c>
      <c r="O91" s="60" t="s">
        <v>85</v>
      </c>
      <c r="P91" s="42" t="s">
        <v>70</v>
      </c>
      <c r="Q91" s="61" t="s">
        <v>61</v>
      </c>
      <c r="R91" s="62" t="s">
        <v>71</v>
      </c>
      <c r="S91" s="49" t="s">
        <v>71</v>
      </c>
    </row>
    <row r="92" ht="111" customHeight="1" spans="1:19" x14ac:dyDescent="0.25">
      <c r="A92" s="33">
        <v>3</v>
      </c>
      <c r="B92" s="34" t="s">
        <v>495</v>
      </c>
      <c r="C92" s="35" t="s">
        <v>496</v>
      </c>
      <c r="D92" s="36" t="s">
        <v>480</v>
      </c>
      <c r="E92" s="37" t="s">
        <v>481</v>
      </c>
      <c r="F92" s="38" t="s">
        <v>78</v>
      </c>
      <c r="G92" s="35" t="s">
        <v>482</v>
      </c>
      <c r="H92" s="39" t="s">
        <v>497</v>
      </c>
      <c r="I92" s="35" t="s">
        <v>498</v>
      </c>
      <c r="J92" s="35" t="s">
        <v>499</v>
      </c>
      <c r="K92" s="35" t="s">
        <v>500</v>
      </c>
      <c r="L92" s="36" t="s">
        <v>501</v>
      </c>
      <c r="M92" s="33" t="s">
        <v>67</v>
      </c>
      <c r="N92" s="45" t="s">
        <v>84</v>
      </c>
      <c r="O92" s="46" t="s">
        <v>85</v>
      </c>
      <c r="P92" s="42" t="s">
        <v>70</v>
      </c>
      <c r="Q92" s="43" t="s">
        <v>61</v>
      </c>
      <c r="R92" s="44" t="s">
        <v>71</v>
      </c>
      <c r="S92" s="35" t="s">
        <v>71</v>
      </c>
    </row>
    <row r="93" ht="66" customHeight="1" spans="1:19" x14ac:dyDescent="0.25">
      <c r="A93" s="47">
        <v>4</v>
      </c>
      <c r="B93" s="48" t="s">
        <v>502</v>
      </c>
      <c r="C93" s="49" t="s">
        <v>503</v>
      </c>
      <c r="D93" s="50" t="s">
        <v>480</v>
      </c>
      <c r="E93" s="51" t="s">
        <v>481</v>
      </c>
      <c r="F93" s="52" t="s">
        <v>78</v>
      </c>
      <c r="G93" s="49" t="s">
        <v>61</v>
      </c>
      <c r="H93" s="53" t="s">
        <v>504</v>
      </c>
      <c r="I93" s="49" t="s">
        <v>505</v>
      </c>
      <c r="J93" s="49" t="s">
        <v>506</v>
      </c>
      <c r="K93" s="49" t="s">
        <v>507</v>
      </c>
      <c r="L93" s="50" t="s">
        <v>508</v>
      </c>
      <c r="M93" s="47" t="s">
        <v>191</v>
      </c>
      <c r="N93" s="54" t="s">
        <v>84</v>
      </c>
      <c r="O93" s="60" t="s">
        <v>85</v>
      </c>
      <c r="P93" s="42" t="s">
        <v>70</v>
      </c>
      <c r="Q93" s="61" t="s">
        <v>61</v>
      </c>
      <c r="R93" s="62" t="s">
        <v>71</v>
      </c>
      <c r="S93" s="49" t="s">
        <v>71</v>
      </c>
    </row>
    <row r="94" ht="111" customHeight="1" spans="1:19" x14ac:dyDescent="0.25">
      <c r="A94" s="33">
        <v>5</v>
      </c>
      <c r="B94" s="34" t="s">
        <v>509</v>
      </c>
      <c r="C94" s="35" t="s">
        <v>510</v>
      </c>
      <c r="D94" s="36" t="s">
        <v>480</v>
      </c>
      <c r="E94" s="37" t="s">
        <v>481</v>
      </c>
      <c r="F94" s="38" t="s">
        <v>78</v>
      </c>
      <c r="G94" s="35" t="s">
        <v>482</v>
      </c>
      <c r="H94" s="39" t="s">
        <v>511</v>
      </c>
      <c r="I94" s="35" t="s">
        <v>512</v>
      </c>
      <c r="J94" s="35" t="s">
        <v>513</v>
      </c>
      <c r="K94" s="35" t="s">
        <v>514</v>
      </c>
      <c r="L94" s="36" t="s">
        <v>515</v>
      </c>
      <c r="M94" s="33" t="s">
        <v>191</v>
      </c>
      <c r="N94" s="45" t="s">
        <v>84</v>
      </c>
      <c r="O94" s="46" t="s">
        <v>85</v>
      </c>
      <c r="P94" s="42" t="s">
        <v>70</v>
      </c>
      <c r="Q94" s="43" t="s">
        <v>61</v>
      </c>
      <c r="R94" s="44" t="s">
        <v>71</v>
      </c>
      <c r="S94" s="35" t="s">
        <v>71</v>
      </c>
    </row>
    <row r="95" ht="111" customHeight="1" spans="1:19" x14ac:dyDescent="0.25">
      <c r="A95" s="47">
        <v>6</v>
      </c>
      <c r="B95" s="48" t="s">
        <v>516</v>
      </c>
      <c r="C95" s="49" t="s">
        <v>517</v>
      </c>
      <c r="D95" s="50" t="s">
        <v>480</v>
      </c>
      <c r="E95" s="51" t="s">
        <v>481</v>
      </c>
      <c r="F95" s="52" t="s">
        <v>78</v>
      </c>
      <c r="G95" s="49" t="s">
        <v>482</v>
      </c>
      <c r="H95" s="53" t="s">
        <v>518</v>
      </c>
      <c r="I95" s="49" t="s">
        <v>519</v>
      </c>
      <c r="J95" s="49" t="s">
        <v>520</v>
      </c>
      <c r="K95" s="49" t="s">
        <v>521</v>
      </c>
      <c r="L95" s="50" t="s">
        <v>522</v>
      </c>
      <c r="M95" s="47" t="s">
        <v>207</v>
      </c>
      <c r="N95" s="54" t="s">
        <v>84</v>
      </c>
      <c r="O95" s="55" t="s">
        <v>95</v>
      </c>
      <c r="P95" s="42" t="s">
        <v>70</v>
      </c>
      <c r="Q95" s="61" t="s">
        <v>61</v>
      </c>
      <c r="R95" s="62" t="s">
        <v>71</v>
      </c>
      <c r="S95" s="49" t="s">
        <v>71</v>
      </c>
    </row>
    <row r="96" ht="111" customHeight="1" spans="1:19" x14ac:dyDescent="0.25">
      <c r="A96" s="33">
        <v>7</v>
      </c>
      <c r="B96" s="34" t="s">
        <v>523</v>
      </c>
      <c r="C96" s="35" t="s">
        <v>524</v>
      </c>
      <c r="D96" s="36" t="s">
        <v>480</v>
      </c>
      <c r="E96" s="37" t="s">
        <v>481</v>
      </c>
      <c r="F96" s="38" t="s">
        <v>78</v>
      </c>
      <c r="G96" s="35" t="s">
        <v>482</v>
      </c>
      <c r="H96" s="39" t="s">
        <v>525</v>
      </c>
      <c r="I96" s="35" t="s">
        <v>526</v>
      </c>
      <c r="J96" s="35" t="s">
        <v>527</v>
      </c>
      <c r="K96" s="35" t="s">
        <v>528</v>
      </c>
      <c r="L96" s="36" t="s">
        <v>529</v>
      </c>
      <c r="M96" s="33" t="s">
        <v>207</v>
      </c>
      <c r="N96" s="45" t="s">
        <v>84</v>
      </c>
      <c r="O96" s="64" t="s">
        <v>95</v>
      </c>
      <c r="P96" s="42" t="s">
        <v>70</v>
      </c>
      <c r="Q96" s="43" t="s">
        <v>61</v>
      </c>
      <c r="R96" s="44" t="s">
        <v>71</v>
      </c>
      <c r="S96" s="35" t="s">
        <v>71</v>
      </c>
    </row>
    <row r="97" ht="111" customHeight="1" spans="1:19" x14ac:dyDescent="0.25">
      <c r="A97" s="47">
        <v>8</v>
      </c>
      <c r="B97" s="48" t="s">
        <v>530</v>
      </c>
      <c r="C97" s="49" t="s">
        <v>531</v>
      </c>
      <c r="D97" s="50" t="s">
        <v>480</v>
      </c>
      <c r="E97" s="51" t="s">
        <v>481</v>
      </c>
      <c r="F97" s="52" t="s">
        <v>78</v>
      </c>
      <c r="G97" s="49" t="s">
        <v>482</v>
      </c>
      <c r="H97" s="53" t="s">
        <v>532</v>
      </c>
      <c r="I97" s="49" t="s">
        <v>533</v>
      </c>
      <c r="J97" s="49" t="s">
        <v>534</v>
      </c>
      <c r="K97" s="49" t="s">
        <v>535</v>
      </c>
      <c r="L97" s="50" t="s">
        <v>536</v>
      </c>
      <c r="M97" s="47" t="s">
        <v>67</v>
      </c>
      <c r="N97" s="54" t="s">
        <v>84</v>
      </c>
      <c r="O97" s="59" t="s">
        <v>69</v>
      </c>
      <c r="P97" s="42" t="s">
        <v>70</v>
      </c>
      <c r="Q97" s="61" t="s">
        <v>61</v>
      </c>
      <c r="R97" s="62" t="s">
        <v>71</v>
      </c>
      <c r="S97" s="49" t="s">
        <v>71</v>
      </c>
    </row>
    <row r="98" ht="111" customHeight="1" spans="1:19" x14ac:dyDescent="0.25">
      <c r="A98" s="33">
        <v>9</v>
      </c>
      <c r="B98" s="34" t="s">
        <v>537</v>
      </c>
      <c r="C98" s="35" t="s">
        <v>538</v>
      </c>
      <c r="D98" s="36" t="s">
        <v>480</v>
      </c>
      <c r="E98" s="37" t="s">
        <v>481</v>
      </c>
      <c r="F98" s="38" t="s">
        <v>78</v>
      </c>
      <c r="G98" s="35" t="s">
        <v>482</v>
      </c>
      <c r="H98" s="39" t="s">
        <v>539</v>
      </c>
      <c r="I98" s="35" t="s">
        <v>540</v>
      </c>
      <c r="J98" s="35" t="s">
        <v>541</v>
      </c>
      <c r="K98" s="35" t="s">
        <v>542</v>
      </c>
      <c r="L98" s="36" t="s">
        <v>543</v>
      </c>
      <c r="M98" s="33" t="s">
        <v>191</v>
      </c>
      <c r="N98" s="45" t="s">
        <v>84</v>
      </c>
      <c r="O98" s="41" t="s">
        <v>69</v>
      </c>
      <c r="P98" s="42" t="s">
        <v>70</v>
      </c>
      <c r="Q98" s="43" t="s">
        <v>61</v>
      </c>
      <c r="R98" s="44" t="s">
        <v>71</v>
      </c>
      <c r="S98" s="35" t="s">
        <v>71</v>
      </c>
    </row>
    <row r="99" ht="111" customHeight="1" spans="1:19" x14ac:dyDescent="0.25">
      <c r="A99" s="47">
        <v>10</v>
      </c>
      <c r="B99" s="48" t="s">
        <v>544</v>
      </c>
      <c r="C99" s="49" t="s">
        <v>545</v>
      </c>
      <c r="D99" s="50" t="s">
        <v>480</v>
      </c>
      <c r="E99" s="51" t="s">
        <v>481</v>
      </c>
      <c r="F99" s="52" t="s">
        <v>78</v>
      </c>
      <c r="G99" s="49" t="s">
        <v>482</v>
      </c>
      <c r="H99" s="53" t="s">
        <v>546</v>
      </c>
      <c r="I99" s="49" t="s">
        <v>547</v>
      </c>
      <c r="J99" s="49" t="s">
        <v>548</v>
      </c>
      <c r="K99" s="49" t="s">
        <v>549</v>
      </c>
      <c r="L99" s="50" t="s">
        <v>550</v>
      </c>
      <c r="M99" s="47" t="s">
        <v>67</v>
      </c>
      <c r="N99" s="54" t="s">
        <v>84</v>
      </c>
      <c r="O99" s="60" t="s">
        <v>85</v>
      </c>
      <c r="P99" s="42" t="s">
        <v>70</v>
      </c>
      <c r="Q99" s="61" t="s">
        <v>61</v>
      </c>
      <c r="R99" s="62" t="s">
        <v>71</v>
      </c>
      <c r="S99" s="49" t="s">
        <v>71</v>
      </c>
    </row>
    <row r="100" ht="111" customHeight="1" spans="1:19" x14ac:dyDescent="0.25">
      <c r="A100" s="33">
        <v>11</v>
      </c>
      <c r="B100" s="34" t="s">
        <v>551</v>
      </c>
      <c r="C100" s="35" t="s">
        <v>552</v>
      </c>
      <c r="D100" s="36" t="s">
        <v>480</v>
      </c>
      <c r="E100" s="37" t="s">
        <v>481</v>
      </c>
      <c r="F100" s="38" t="s">
        <v>78</v>
      </c>
      <c r="G100" s="35" t="s">
        <v>482</v>
      </c>
      <c r="H100" s="39" t="s">
        <v>553</v>
      </c>
      <c r="I100" s="35" t="s">
        <v>554</v>
      </c>
      <c r="J100" s="35" t="s">
        <v>555</v>
      </c>
      <c r="K100" s="35" t="s">
        <v>556</v>
      </c>
      <c r="L100" s="36" t="s">
        <v>557</v>
      </c>
      <c r="M100" s="33" t="s">
        <v>67</v>
      </c>
      <c r="N100" s="45" t="s">
        <v>84</v>
      </c>
      <c r="O100" s="46" t="s">
        <v>85</v>
      </c>
      <c r="P100" s="42" t="s">
        <v>70</v>
      </c>
      <c r="Q100" s="43" t="s">
        <v>61</v>
      </c>
      <c r="R100" s="44" t="s">
        <v>71</v>
      </c>
      <c r="S100" s="35" t="s">
        <v>71</v>
      </c>
    </row>
    <row r="101" ht="111" customHeight="1" spans="1:19" x14ac:dyDescent="0.25">
      <c r="A101" s="47">
        <v>12</v>
      </c>
      <c r="B101" s="48" t="s">
        <v>558</v>
      </c>
      <c r="C101" s="49" t="s">
        <v>559</v>
      </c>
      <c r="D101" s="50" t="s">
        <v>480</v>
      </c>
      <c r="E101" s="51" t="s">
        <v>481</v>
      </c>
      <c r="F101" s="52" t="s">
        <v>78</v>
      </c>
      <c r="G101" s="49" t="s">
        <v>482</v>
      </c>
      <c r="H101" s="53" t="s">
        <v>560</v>
      </c>
      <c r="I101" s="49" t="s">
        <v>561</v>
      </c>
      <c r="J101" s="49" t="s">
        <v>562</v>
      </c>
      <c r="K101" s="49" t="s">
        <v>563</v>
      </c>
      <c r="L101" s="50" t="s">
        <v>564</v>
      </c>
      <c r="M101" s="47" t="s">
        <v>191</v>
      </c>
      <c r="N101" s="54" t="s">
        <v>84</v>
      </c>
      <c r="O101" s="65" t="s">
        <v>367</v>
      </c>
      <c r="P101" s="42" t="s">
        <v>70</v>
      </c>
      <c r="Q101" s="61" t="s">
        <v>61</v>
      </c>
      <c r="R101" s="62" t="s">
        <v>71</v>
      </c>
      <c r="S101" s="49" t="s">
        <v>71</v>
      </c>
    </row>
    <row r="102" ht="111" customHeight="1" spans="1:19" x14ac:dyDescent="0.25">
      <c r="A102" s="33">
        <v>13</v>
      </c>
      <c r="B102" s="34" t="s">
        <v>565</v>
      </c>
      <c r="C102" s="35" t="s">
        <v>566</v>
      </c>
      <c r="D102" s="36" t="s">
        <v>480</v>
      </c>
      <c r="E102" s="37" t="s">
        <v>481</v>
      </c>
      <c r="F102" s="38" t="s">
        <v>78</v>
      </c>
      <c r="G102" s="35" t="s">
        <v>482</v>
      </c>
      <c r="H102" s="39" t="s">
        <v>567</v>
      </c>
      <c r="I102" s="35" t="s">
        <v>568</v>
      </c>
      <c r="J102" s="35" t="s">
        <v>569</v>
      </c>
      <c r="K102" s="35" t="s">
        <v>570</v>
      </c>
      <c r="L102" s="36" t="s">
        <v>571</v>
      </c>
      <c r="M102" s="33" t="s">
        <v>191</v>
      </c>
      <c r="N102" s="45" t="s">
        <v>84</v>
      </c>
      <c r="O102" s="46" t="s">
        <v>85</v>
      </c>
      <c r="P102" s="42" t="s">
        <v>70</v>
      </c>
      <c r="Q102" s="43" t="s">
        <v>61</v>
      </c>
      <c r="R102" s="44" t="s">
        <v>71</v>
      </c>
      <c r="S102" s="35" t="s">
        <v>71</v>
      </c>
    </row>
    <row r="103" ht="96" customHeight="1" spans="1:19" x14ac:dyDescent="0.25">
      <c r="A103" s="47">
        <v>14</v>
      </c>
      <c r="B103" s="48" t="s">
        <v>572</v>
      </c>
      <c r="C103" s="49" t="s">
        <v>573</v>
      </c>
      <c r="D103" s="50" t="s">
        <v>480</v>
      </c>
      <c r="E103" s="51" t="s">
        <v>481</v>
      </c>
      <c r="F103" s="52" t="s">
        <v>78</v>
      </c>
      <c r="G103" s="49" t="s">
        <v>61</v>
      </c>
      <c r="H103" s="53" t="s">
        <v>574</v>
      </c>
      <c r="I103" s="49" t="s">
        <v>575</v>
      </c>
      <c r="J103" s="49" t="s">
        <v>576</v>
      </c>
      <c r="K103" s="49" t="s">
        <v>577</v>
      </c>
      <c r="L103" s="50" t="s">
        <v>578</v>
      </c>
      <c r="M103" s="47" t="s">
        <v>191</v>
      </c>
      <c r="N103" s="54" t="s">
        <v>84</v>
      </c>
      <c r="O103" s="65" t="s">
        <v>367</v>
      </c>
      <c r="P103" s="42" t="s">
        <v>70</v>
      </c>
      <c r="Q103" s="61" t="s">
        <v>61</v>
      </c>
      <c r="R103" s="62" t="s">
        <v>71</v>
      </c>
      <c r="S103" s="49" t="s">
        <v>71</v>
      </c>
    </row>
    <row r="104" ht="141" customHeight="1" spans="1:19" x14ac:dyDescent="0.25">
      <c r="A104" s="33">
        <v>15</v>
      </c>
      <c r="B104" s="34" t="s">
        <v>579</v>
      </c>
      <c r="C104" s="35" t="s">
        <v>580</v>
      </c>
      <c r="D104" s="36" t="s">
        <v>480</v>
      </c>
      <c r="E104" s="37" t="s">
        <v>481</v>
      </c>
      <c r="F104" s="38" t="s">
        <v>78</v>
      </c>
      <c r="G104" s="35" t="s">
        <v>581</v>
      </c>
      <c r="H104" s="39" t="s">
        <v>582</v>
      </c>
      <c r="I104" s="35" t="s">
        <v>583</v>
      </c>
      <c r="J104" s="35" t="s">
        <v>584</v>
      </c>
      <c r="K104" s="35" t="s">
        <v>585</v>
      </c>
      <c r="L104" s="36" t="s">
        <v>586</v>
      </c>
      <c r="M104" s="33" t="s">
        <v>67</v>
      </c>
      <c r="N104" s="45" t="s">
        <v>84</v>
      </c>
      <c r="O104" s="46" t="s">
        <v>85</v>
      </c>
      <c r="P104" s="56" t="s">
        <v>96</v>
      </c>
      <c r="Q104" s="58" t="s">
        <v>587</v>
      </c>
      <c r="R104" s="58" t="s">
        <v>588</v>
      </c>
      <c r="S104" s="35" t="s">
        <v>71</v>
      </c>
    </row>
    <row r="106" ht="28" customHeight="1" spans="1:19" x14ac:dyDescent="0.25">
      <c r="A106" s="30" t="s">
        <v>589</v>
      </c>
      <c r="B106" s="30"/>
      <c r="C106" s="30"/>
      <c r="D106" s="30"/>
      <c r="E106" s="30"/>
      <c r="F106" s="30"/>
      <c r="G106" s="30"/>
      <c r="H106" s="30"/>
      <c r="I106" s="30"/>
      <c r="J106" s="30"/>
      <c r="K106" s="30"/>
      <c r="L106" s="30"/>
      <c r="M106" s="30"/>
      <c r="N106" s="30"/>
      <c r="O106" s="30"/>
      <c r="P106" s="30"/>
      <c r="Q106" s="30"/>
      <c r="R106" s="30"/>
      <c r="S106" s="31" t="str">
        <f>HYPERLINK("#'Test Cases'!A5","↑ Summary")</f>
        <v>↑ Summary</v>
      </c>
    </row>
    <row r="107" ht="18" customHeight="1" spans="1:19" x14ac:dyDescent="0.25">
      <c r="A107" s="32" t="s">
        <v>590</v>
      </c>
      <c r="B107" s="32"/>
      <c r="C107" s="32"/>
      <c r="D107" s="32"/>
      <c r="E107" s="32"/>
      <c r="F107" s="32"/>
      <c r="G107" s="32"/>
      <c r="H107" s="32"/>
      <c r="I107" s="32"/>
      <c r="J107" s="32"/>
      <c r="K107" s="32"/>
      <c r="L107" s="32"/>
      <c r="M107" s="32"/>
      <c r="N107" s="32"/>
      <c r="O107" s="32"/>
      <c r="P107" s="32"/>
      <c r="Q107" s="32"/>
      <c r="R107" s="32"/>
      <c r="S107" s="32"/>
    </row>
    <row r="108" ht="30" customHeight="1" spans="1:19" x14ac:dyDescent="0.25">
      <c r="A108" s="11" t="s">
        <v>38</v>
      </c>
      <c r="B108" s="11" t="s">
        <v>39</v>
      </c>
      <c r="C108" s="11" t="s">
        <v>40</v>
      </c>
      <c r="D108" s="11" t="s">
        <v>41</v>
      </c>
      <c r="E108" s="11" t="s">
        <v>12</v>
      </c>
      <c r="F108" s="11" t="s">
        <v>42</v>
      </c>
      <c r="G108" s="11" t="s">
        <v>43</v>
      </c>
      <c r="H108" s="11" t="s">
        <v>44</v>
      </c>
      <c r="I108" s="11" t="s">
        <v>45</v>
      </c>
      <c r="J108" s="11" t="s">
        <v>46</v>
      </c>
      <c r="K108" s="11" t="s">
        <v>47</v>
      </c>
      <c r="L108" s="11" t="s">
        <v>48</v>
      </c>
      <c r="M108" s="11" t="s">
        <v>49</v>
      </c>
      <c r="N108" s="11" t="s">
        <v>50</v>
      </c>
      <c r="O108" s="11" t="s">
        <v>51</v>
      </c>
      <c r="P108" s="11" t="s">
        <v>52</v>
      </c>
      <c r="Q108" s="11" t="s">
        <v>53</v>
      </c>
      <c r="R108" s="11" t="s">
        <v>54</v>
      </c>
      <c r="S108" s="11" t="s">
        <v>55</v>
      </c>
    </row>
    <row r="109" ht="111" customHeight="1" spans="1:19" x14ac:dyDescent="0.25">
      <c r="A109" s="33">
        <v>1</v>
      </c>
      <c r="B109" s="34" t="s">
        <v>591</v>
      </c>
      <c r="C109" s="35" t="s">
        <v>592</v>
      </c>
      <c r="D109" s="36" t="s">
        <v>593</v>
      </c>
      <c r="E109" s="37" t="s">
        <v>594</v>
      </c>
      <c r="F109" s="38" t="s">
        <v>78</v>
      </c>
      <c r="G109" s="35" t="s">
        <v>61</v>
      </c>
      <c r="H109" s="39" t="s">
        <v>595</v>
      </c>
      <c r="I109" s="35" t="s">
        <v>596</v>
      </c>
      <c r="J109" s="35" t="s">
        <v>597</v>
      </c>
      <c r="K109" s="35" t="s">
        <v>598</v>
      </c>
      <c r="L109" s="36" t="s">
        <v>599</v>
      </c>
      <c r="M109" s="33" t="s">
        <v>67</v>
      </c>
      <c r="N109" s="40" t="s">
        <v>68</v>
      </c>
      <c r="O109" s="41" t="s">
        <v>69</v>
      </c>
      <c r="P109" s="42" t="s">
        <v>70</v>
      </c>
      <c r="Q109" s="43" t="s">
        <v>61</v>
      </c>
      <c r="R109" s="44" t="s">
        <v>71</v>
      </c>
      <c r="S109" s="35" t="s">
        <v>71</v>
      </c>
    </row>
    <row r="110" ht="81" customHeight="1" spans="1:19" x14ac:dyDescent="0.25">
      <c r="A110" s="47">
        <v>2</v>
      </c>
      <c r="B110" s="48" t="s">
        <v>600</v>
      </c>
      <c r="C110" s="49" t="s">
        <v>601</v>
      </c>
      <c r="D110" s="50" t="s">
        <v>593</v>
      </c>
      <c r="E110" s="51" t="s">
        <v>594</v>
      </c>
      <c r="F110" s="52" t="s">
        <v>78</v>
      </c>
      <c r="G110" s="49" t="s">
        <v>61</v>
      </c>
      <c r="H110" s="53" t="s">
        <v>602</v>
      </c>
      <c r="I110" s="49" t="s">
        <v>603</v>
      </c>
      <c r="J110" s="49" t="s">
        <v>604</v>
      </c>
      <c r="K110" s="49" t="s">
        <v>605</v>
      </c>
      <c r="L110" s="50" t="s">
        <v>606</v>
      </c>
      <c r="M110" s="47" t="s">
        <v>191</v>
      </c>
      <c r="N110" s="54" t="s">
        <v>84</v>
      </c>
      <c r="O110" s="60" t="s">
        <v>85</v>
      </c>
      <c r="P110" s="42" t="s">
        <v>70</v>
      </c>
      <c r="Q110" s="61" t="s">
        <v>61</v>
      </c>
      <c r="R110" s="62" t="s">
        <v>71</v>
      </c>
      <c r="S110" s="49" t="s">
        <v>71</v>
      </c>
    </row>
    <row r="111" ht="126" customHeight="1" spans="1:19" x14ac:dyDescent="0.25">
      <c r="A111" s="33">
        <v>3</v>
      </c>
      <c r="B111" s="34" t="s">
        <v>607</v>
      </c>
      <c r="C111" s="35" t="s">
        <v>608</v>
      </c>
      <c r="D111" s="36" t="s">
        <v>593</v>
      </c>
      <c r="E111" s="37" t="s">
        <v>594</v>
      </c>
      <c r="F111" s="38" t="s">
        <v>78</v>
      </c>
      <c r="G111" s="35" t="s">
        <v>61</v>
      </c>
      <c r="H111" s="39" t="s">
        <v>609</v>
      </c>
      <c r="I111" s="35" t="s">
        <v>610</v>
      </c>
      <c r="J111" s="35" t="s">
        <v>611</v>
      </c>
      <c r="K111" s="35" t="s">
        <v>612</v>
      </c>
      <c r="L111" s="36" t="s">
        <v>613</v>
      </c>
      <c r="M111" s="33" t="s">
        <v>191</v>
      </c>
      <c r="N111" s="45" t="s">
        <v>84</v>
      </c>
      <c r="O111" s="46" t="s">
        <v>85</v>
      </c>
      <c r="P111" s="42" t="s">
        <v>70</v>
      </c>
      <c r="Q111" s="43" t="s">
        <v>61</v>
      </c>
      <c r="R111" s="44" t="s">
        <v>71</v>
      </c>
      <c r="S111" s="35" t="s">
        <v>71</v>
      </c>
    </row>
    <row r="112" ht="96" customHeight="1" spans="1:19" x14ac:dyDescent="0.25">
      <c r="A112" s="47">
        <v>4</v>
      </c>
      <c r="B112" s="48" t="s">
        <v>614</v>
      </c>
      <c r="C112" s="49" t="s">
        <v>615</v>
      </c>
      <c r="D112" s="50" t="s">
        <v>593</v>
      </c>
      <c r="E112" s="51" t="s">
        <v>594</v>
      </c>
      <c r="F112" s="52" t="s">
        <v>78</v>
      </c>
      <c r="G112" s="49" t="s">
        <v>61</v>
      </c>
      <c r="H112" s="53" t="s">
        <v>616</v>
      </c>
      <c r="I112" s="49" t="s">
        <v>617</v>
      </c>
      <c r="J112" s="49" t="s">
        <v>618</v>
      </c>
      <c r="K112" s="49" t="s">
        <v>619</v>
      </c>
      <c r="L112" s="50" t="s">
        <v>620</v>
      </c>
      <c r="M112" s="47" t="s">
        <v>67</v>
      </c>
      <c r="N112" s="54" t="s">
        <v>84</v>
      </c>
      <c r="O112" s="65" t="s">
        <v>367</v>
      </c>
      <c r="P112" s="42" t="s">
        <v>70</v>
      </c>
      <c r="Q112" s="61" t="s">
        <v>61</v>
      </c>
      <c r="R112" s="62" t="s">
        <v>71</v>
      </c>
      <c r="S112" s="49" t="s">
        <v>71</v>
      </c>
    </row>
    <row r="113" ht="66" customHeight="1" spans="1:19" x14ac:dyDescent="0.25">
      <c r="A113" s="33">
        <v>5</v>
      </c>
      <c r="B113" s="34" t="s">
        <v>621</v>
      </c>
      <c r="C113" s="35" t="s">
        <v>622</v>
      </c>
      <c r="D113" s="36" t="s">
        <v>593</v>
      </c>
      <c r="E113" s="37" t="s">
        <v>594</v>
      </c>
      <c r="F113" s="38" t="s">
        <v>78</v>
      </c>
      <c r="G113" s="35" t="s">
        <v>61</v>
      </c>
      <c r="H113" s="39" t="s">
        <v>623</v>
      </c>
      <c r="I113" s="35" t="s">
        <v>624</v>
      </c>
      <c r="J113" s="35" t="s">
        <v>625</v>
      </c>
      <c r="K113" s="35" t="s">
        <v>256</v>
      </c>
      <c r="L113" s="36" t="s">
        <v>626</v>
      </c>
      <c r="M113" s="33" t="s">
        <v>191</v>
      </c>
      <c r="N113" s="45" t="s">
        <v>84</v>
      </c>
      <c r="O113" s="46" t="s">
        <v>85</v>
      </c>
      <c r="P113" s="42" t="s">
        <v>70</v>
      </c>
      <c r="Q113" s="43" t="s">
        <v>61</v>
      </c>
      <c r="R113" s="44" t="s">
        <v>71</v>
      </c>
      <c r="S113" s="35" t="s">
        <v>71</v>
      </c>
    </row>
    <row r="114" ht="96" customHeight="1" spans="1:19" x14ac:dyDescent="0.25">
      <c r="A114" s="47">
        <v>6</v>
      </c>
      <c r="B114" s="48" t="s">
        <v>627</v>
      </c>
      <c r="C114" s="49" t="s">
        <v>628</v>
      </c>
      <c r="D114" s="50" t="s">
        <v>593</v>
      </c>
      <c r="E114" s="51" t="s">
        <v>594</v>
      </c>
      <c r="F114" s="52" t="s">
        <v>78</v>
      </c>
      <c r="G114" s="49" t="s">
        <v>61</v>
      </c>
      <c r="H114" s="53" t="s">
        <v>629</v>
      </c>
      <c r="I114" s="49" t="s">
        <v>630</v>
      </c>
      <c r="J114" s="49" t="s">
        <v>631</v>
      </c>
      <c r="K114" s="49" t="s">
        <v>454</v>
      </c>
      <c r="L114" s="50" t="s">
        <v>632</v>
      </c>
      <c r="M114" s="47" t="s">
        <v>191</v>
      </c>
      <c r="N114" s="54" t="s">
        <v>84</v>
      </c>
      <c r="O114" s="60" t="s">
        <v>85</v>
      </c>
      <c r="P114" s="42" t="s">
        <v>70</v>
      </c>
      <c r="Q114" s="61" t="s">
        <v>61</v>
      </c>
      <c r="R114" s="62" t="s">
        <v>71</v>
      </c>
      <c r="S114" s="49" t="s">
        <v>71</v>
      </c>
    </row>
    <row r="115" ht="66" customHeight="1" spans="1:19" x14ac:dyDescent="0.25">
      <c r="A115" s="33">
        <v>7</v>
      </c>
      <c r="B115" s="34" t="s">
        <v>633</v>
      </c>
      <c r="C115" s="35" t="s">
        <v>634</v>
      </c>
      <c r="D115" s="36" t="s">
        <v>593</v>
      </c>
      <c r="E115" s="37" t="s">
        <v>594</v>
      </c>
      <c r="F115" s="38" t="s">
        <v>78</v>
      </c>
      <c r="G115" s="35" t="s">
        <v>61</v>
      </c>
      <c r="H115" s="39" t="s">
        <v>635</v>
      </c>
      <c r="I115" s="35" t="s">
        <v>636</v>
      </c>
      <c r="J115" s="35" t="s">
        <v>637</v>
      </c>
      <c r="K115" s="35" t="s">
        <v>461</v>
      </c>
      <c r="L115" s="36" t="s">
        <v>638</v>
      </c>
      <c r="M115" s="33" t="s">
        <v>67</v>
      </c>
      <c r="N115" s="45" t="s">
        <v>84</v>
      </c>
      <c r="O115" s="66" t="s">
        <v>367</v>
      </c>
      <c r="P115" s="42" t="s">
        <v>70</v>
      </c>
      <c r="Q115" s="43" t="s">
        <v>61</v>
      </c>
      <c r="R115" s="44" t="s">
        <v>71</v>
      </c>
      <c r="S115" s="35" t="s">
        <v>71</v>
      </c>
    </row>
    <row r="116" ht="111" customHeight="1" spans="1:19" x14ac:dyDescent="0.25">
      <c r="A116" s="47">
        <v>8</v>
      </c>
      <c r="B116" s="48" t="s">
        <v>639</v>
      </c>
      <c r="C116" s="49" t="s">
        <v>640</v>
      </c>
      <c r="D116" s="50" t="s">
        <v>593</v>
      </c>
      <c r="E116" s="51" t="s">
        <v>594</v>
      </c>
      <c r="F116" s="52" t="s">
        <v>78</v>
      </c>
      <c r="G116" s="49" t="s">
        <v>61</v>
      </c>
      <c r="H116" s="53" t="s">
        <v>641</v>
      </c>
      <c r="I116" s="49" t="s">
        <v>642</v>
      </c>
      <c r="J116" s="49" t="s">
        <v>643</v>
      </c>
      <c r="K116" s="49" t="s">
        <v>644</v>
      </c>
      <c r="L116" s="50" t="s">
        <v>645</v>
      </c>
      <c r="M116" s="47" t="s">
        <v>191</v>
      </c>
      <c r="N116" s="54" t="s">
        <v>84</v>
      </c>
      <c r="O116" s="60" t="s">
        <v>85</v>
      </c>
      <c r="P116" s="42" t="s">
        <v>70</v>
      </c>
      <c r="Q116" s="61" t="s">
        <v>61</v>
      </c>
      <c r="R116" s="62" t="s">
        <v>71</v>
      </c>
      <c r="S116" s="49" t="s">
        <v>71</v>
      </c>
    </row>
    <row r="117" ht="81" customHeight="1" spans="1:19" x14ac:dyDescent="0.25">
      <c r="A117" s="33">
        <v>9</v>
      </c>
      <c r="B117" s="34" t="s">
        <v>646</v>
      </c>
      <c r="C117" s="35" t="s">
        <v>647</v>
      </c>
      <c r="D117" s="36" t="s">
        <v>593</v>
      </c>
      <c r="E117" s="37" t="s">
        <v>594</v>
      </c>
      <c r="F117" s="38" t="s">
        <v>78</v>
      </c>
      <c r="G117" s="35" t="s">
        <v>61</v>
      </c>
      <c r="H117" s="39" t="s">
        <v>648</v>
      </c>
      <c r="I117" s="35" t="s">
        <v>649</v>
      </c>
      <c r="J117" s="35" t="s">
        <v>650</v>
      </c>
      <c r="K117" s="35" t="s">
        <v>651</v>
      </c>
      <c r="L117" s="36" t="s">
        <v>652</v>
      </c>
      <c r="M117" s="33" t="s">
        <v>67</v>
      </c>
      <c r="N117" s="45" t="s">
        <v>84</v>
      </c>
      <c r="O117" s="41" t="s">
        <v>69</v>
      </c>
      <c r="P117" s="42" t="s">
        <v>70</v>
      </c>
      <c r="Q117" s="43" t="s">
        <v>61</v>
      </c>
      <c r="R117" s="44" t="s">
        <v>71</v>
      </c>
      <c r="S117" s="35" t="s">
        <v>71</v>
      </c>
    </row>
    <row r="118" ht="111" customHeight="1" spans="1:19" x14ac:dyDescent="0.25">
      <c r="A118" s="47">
        <v>10</v>
      </c>
      <c r="B118" s="48" t="s">
        <v>653</v>
      </c>
      <c r="C118" s="49" t="s">
        <v>654</v>
      </c>
      <c r="D118" s="50" t="s">
        <v>593</v>
      </c>
      <c r="E118" s="51" t="s">
        <v>594</v>
      </c>
      <c r="F118" s="52" t="s">
        <v>78</v>
      </c>
      <c r="G118" s="49" t="s">
        <v>61</v>
      </c>
      <c r="H118" s="53" t="s">
        <v>655</v>
      </c>
      <c r="I118" s="49" t="s">
        <v>656</v>
      </c>
      <c r="J118" s="49" t="s">
        <v>657</v>
      </c>
      <c r="K118" s="49" t="s">
        <v>658</v>
      </c>
      <c r="L118" s="50" t="s">
        <v>659</v>
      </c>
      <c r="M118" s="47" t="s">
        <v>67</v>
      </c>
      <c r="N118" s="54" t="s">
        <v>84</v>
      </c>
      <c r="O118" s="59" t="s">
        <v>69</v>
      </c>
      <c r="P118" s="42" t="s">
        <v>70</v>
      </c>
      <c r="Q118" s="61" t="s">
        <v>61</v>
      </c>
      <c r="R118" s="62" t="s">
        <v>71</v>
      </c>
      <c r="S118" s="49" t="s">
        <v>71</v>
      </c>
    </row>
    <row r="119" ht="81" customHeight="1" spans="1:19" x14ac:dyDescent="0.25">
      <c r="A119" s="33">
        <v>11</v>
      </c>
      <c r="B119" s="34" t="s">
        <v>660</v>
      </c>
      <c r="C119" s="35" t="s">
        <v>661</v>
      </c>
      <c r="D119" s="36" t="s">
        <v>593</v>
      </c>
      <c r="E119" s="37" t="s">
        <v>594</v>
      </c>
      <c r="F119" s="38" t="s">
        <v>78</v>
      </c>
      <c r="G119" s="35" t="s">
        <v>61</v>
      </c>
      <c r="H119" s="39" t="s">
        <v>662</v>
      </c>
      <c r="I119" s="35" t="s">
        <v>663</v>
      </c>
      <c r="J119" s="35" t="s">
        <v>664</v>
      </c>
      <c r="K119" s="35" t="s">
        <v>665</v>
      </c>
      <c r="L119" s="36" t="s">
        <v>666</v>
      </c>
      <c r="M119" s="33" t="s">
        <v>67</v>
      </c>
      <c r="N119" s="45" t="s">
        <v>84</v>
      </c>
      <c r="O119" s="66" t="s">
        <v>367</v>
      </c>
      <c r="P119" s="42" t="s">
        <v>70</v>
      </c>
      <c r="Q119" s="43" t="s">
        <v>61</v>
      </c>
      <c r="R119" s="44" t="s">
        <v>71</v>
      </c>
      <c r="S119" s="35" t="s">
        <v>71</v>
      </c>
    </row>
    <row r="120" ht="126" customHeight="1" spans="1:19" x14ac:dyDescent="0.25">
      <c r="A120" s="47">
        <v>12</v>
      </c>
      <c r="B120" s="48" t="s">
        <v>667</v>
      </c>
      <c r="C120" s="49" t="s">
        <v>668</v>
      </c>
      <c r="D120" s="50" t="s">
        <v>593</v>
      </c>
      <c r="E120" s="51" t="s">
        <v>594</v>
      </c>
      <c r="F120" s="52" t="s">
        <v>78</v>
      </c>
      <c r="G120" s="49" t="s">
        <v>669</v>
      </c>
      <c r="H120" s="53" t="s">
        <v>670</v>
      </c>
      <c r="I120" s="49" t="s">
        <v>671</v>
      </c>
      <c r="J120" s="49" t="s">
        <v>672</v>
      </c>
      <c r="K120" s="49" t="s">
        <v>673</v>
      </c>
      <c r="L120" s="50" t="s">
        <v>674</v>
      </c>
      <c r="M120" s="47" t="s">
        <v>67</v>
      </c>
      <c r="N120" s="54" t="s">
        <v>84</v>
      </c>
      <c r="O120" s="65" t="s">
        <v>367</v>
      </c>
      <c r="P120" s="56" t="s">
        <v>96</v>
      </c>
      <c r="Q120" s="57" t="s">
        <v>675</v>
      </c>
      <c r="R120" s="57" t="s">
        <v>676</v>
      </c>
      <c r="S120" s="49" t="s">
        <v>71</v>
      </c>
    </row>
    <row r="122" ht="28" customHeight="1" spans="1:19" x14ac:dyDescent="0.25">
      <c r="A122" s="30" t="s">
        <v>677</v>
      </c>
      <c r="B122" s="30"/>
      <c r="C122" s="30"/>
      <c r="D122" s="30"/>
      <c r="E122" s="30"/>
      <c r="F122" s="30"/>
      <c r="G122" s="30"/>
      <c r="H122" s="30"/>
      <c r="I122" s="30"/>
      <c r="J122" s="30"/>
      <c r="K122" s="30"/>
      <c r="L122" s="30"/>
      <c r="M122" s="30"/>
      <c r="N122" s="30"/>
      <c r="O122" s="30"/>
      <c r="P122" s="30"/>
      <c r="Q122" s="30"/>
      <c r="R122" s="30"/>
      <c r="S122" s="31" t="str">
        <f>HYPERLINK("#'Test Cases'!A5","↑ Summary")</f>
        <v>↑ Summary</v>
      </c>
    </row>
    <row r="123" ht="18" customHeight="1" spans="1:19" x14ac:dyDescent="0.25">
      <c r="A123" s="32" t="s">
        <v>678</v>
      </c>
      <c r="B123" s="32"/>
      <c r="C123" s="32"/>
      <c r="D123" s="32"/>
      <c r="E123" s="32"/>
      <c r="F123" s="32"/>
      <c r="G123" s="32"/>
      <c r="H123" s="32"/>
      <c r="I123" s="32"/>
      <c r="J123" s="32"/>
      <c r="K123" s="32"/>
      <c r="L123" s="32"/>
      <c r="M123" s="32"/>
      <c r="N123" s="32"/>
      <c r="O123" s="32"/>
      <c r="P123" s="32"/>
      <c r="Q123" s="32"/>
      <c r="R123" s="32"/>
      <c r="S123" s="32"/>
    </row>
    <row r="124" ht="30" customHeight="1" spans="1:19" x14ac:dyDescent="0.25">
      <c r="A124" s="11" t="s">
        <v>38</v>
      </c>
      <c r="B124" s="11" t="s">
        <v>39</v>
      </c>
      <c r="C124" s="11" t="s">
        <v>40</v>
      </c>
      <c r="D124" s="11" t="s">
        <v>41</v>
      </c>
      <c r="E124" s="11" t="s">
        <v>12</v>
      </c>
      <c r="F124" s="11" t="s">
        <v>42</v>
      </c>
      <c r="G124" s="11" t="s">
        <v>43</v>
      </c>
      <c r="H124" s="11" t="s">
        <v>44</v>
      </c>
      <c r="I124" s="11" t="s">
        <v>45</v>
      </c>
      <c r="J124" s="11" t="s">
        <v>46</v>
      </c>
      <c r="K124" s="11" t="s">
        <v>47</v>
      </c>
      <c r="L124" s="11" t="s">
        <v>48</v>
      </c>
      <c r="M124" s="11" t="s">
        <v>49</v>
      </c>
      <c r="N124" s="11" t="s">
        <v>50</v>
      </c>
      <c r="O124" s="11" t="s">
        <v>51</v>
      </c>
      <c r="P124" s="11" t="s">
        <v>52</v>
      </c>
      <c r="Q124" s="11" t="s">
        <v>53</v>
      </c>
      <c r="R124" s="11" t="s">
        <v>54</v>
      </c>
      <c r="S124" s="11" t="s">
        <v>55</v>
      </c>
    </row>
    <row r="125" ht="126" customHeight="1" spans="1:19" x14ac:dyDescent="0.25">
      <c r="A125" s="33">
        <v>1</v>
      </c>
      <c r="B125" s="34" t="s">
        <v>679</v>
      </c>
      <c r="C125" s="35" t="s">
        <v>680</v>
      </c>
      <c r="D125" s="36" t="s">
        <v>681</v>
      </c>
      <c r="E125" s="37" t="s">
        <v>682</v>
      </c>
      <c r="F125" s="38" t="s">
        <v>78</v>
      </c>
      <c r="G125" s="35" t="s">
        <v>683</v>
      </c>
      <c r="H125" s="39" t="s">
        <v>684</v>
      </c>
      <c r="I125" s="35" t="s">
        <v>685</v>
      </c>
      <c r="J125" s="35" t="s">
        <v>686</v>
      </c>
      <c r="K125" s="35" t="s">
        <v>687</v>
      </c>
      <c r="L125" s="36" t="s">
        <v>688</v>
      </c>
      <c r="M125" s="33" t="s">
        <v>67</v>
      </c>
      <c r="N125" s="45" t="s">
        <v>84</v>
      </c>
      <c r="O125" s="41" t="s">
        <v>69</v>
      </c>
      <c r="P125" s="42" t="s">
        <v>70</v>
      </c>
      <c r="Q125" s="43" t="s">
        <v>61</v>
      </c>
      <c r="R125" s="44" t="s">
        <v>71</v>
      </c>
      <c r="S125" s="35" t="s">
        <v>71</v>
      </c>
    </row>
    <row r="126" ht="126" customHeight="1" spans="1:19" x14ac:dyDescent="0.25">
      <c r="A126" s="47">
        <v>2</v>
      </c>
      <c r="B126" s="48" t="s">
        <v>689</v>
      </c>
      <c r="C126" s="49" t="s">
        <v>690</v>
      </c>
      <c r="D126" s="50" t="s">
        <v>681</v>
      </c>
      <c r="E126" s="51" t="s">
        <v>682</v>
      </c>
      <c r="F126" s="52" t="s">
        <v>78</v>
      </c>
      <c r="G126" s="49" t="s">
        <v>178</v>
      </c>
      <c r="H126" s="53" t="s">
        <v>691</v>
      </c>
      <c r="I126" s="49" t="s">
        <v>692</v>
      </c>
      <c r="J126" s="49" t="s">
        <v>693</v>
      </c>
      <c r="K126" s="49" t="s">
        <v>694</v>
      </c>
      <c r="L126" s="50" t="s">
        <v>695</v>
      </c>
      <c r="M126" s="47" t="s">
        <v>191</v>
      </c>
      <c r="N126" s="54" t="s">
        <v>84</v>
      </c>
      <c r="O126" s="60" t="s">
        <v>85</v>
      </c>
      <c r="P126" s="42" t="s">
        <v>70</v>
      </c>
      <c r="Q126" s="61" t="s">
        <v>61</v>
      </c>
      <c r="R126" s="62" t="s">
        <v>71</v>
      </c>
      <c r="S126" s="49" t="s">
        <v>71</v>
      </c>
    </row>
    <row r="128" ht="28" customHeight="1" spans="1:19" x14ac:dyDescent="0.25">
      <c r="A128" s="30" t="s">
        <v>696</v>
      </c>
      <c r="B128" s="30"/>
      <c r="C128" s="30"/>
      <c r="D128" s="30"/>
      <c r="E128" s="30"/>
      <c r="F128" s="30"/>
      <c r="G128" s="30"/>
      <c r="H128" s="30"/>
      <c r="I128" s="30"/>
      <c r="J128" s="30"/>
      <c r="K128" s="30"/>
      <c r="L128" s="30"/>
      <c r="M128" s="30"/>
      <c r="N128" s="30"/>
      <c r="O128" s="30"/>
      <c r="P128" s="30"/>
      <c r="Q128" s="30"/>
      <c r="R128" s="30"/>
      <c r="S128" s="31" t="str">
        <f>HYPERLINK("#'Test Cases'!A5","↑ Summary")</f>
        <v>↑ Summary</v>
      </c>
    </row>
    <row r="129" ht="18" customHeight="1" spans="1:19" x14ac:dyDescent="0.25">
      <c r="A129" s="32" t="s">
        <v>697</v>
      </c>
      <c r="B129" s="32"/>
      <c r="C129" s="32"/>
      <c r="D129" s="32"/>
      <c r="E129" s="32"/>
      <c r="F129" s="32"/>
      <c r="G129" s="32"/>
      <c r="H129" s="32"/>
      <c r="I129" s="32"/>
      <c r="J129" s="32"/>
      <c r="K129" s="32"/>
      <c r="L129" s="32"/>
      <c r="M129" s="32"/>
      <c r="N129" s="32"/>
      <c r="O129" s="32"/>
      <c r="P129" s="32"/>
      <c r="Q129" s="32"/>
      <c r="R129" s="32"/>
      <c r="S129" s="32"/>
    </row>
    <row r="130" ht="30" customHeight="1" spans="1:19" x14ac:dyDescent="0.25">
      <c r="A130" s="11" t="s">
        <v>38</v>
      </c>
      <c r="B130" s="11" t="s">
        <v>39</v>
      </c>
      <c r="C130" s="11" t="s">
        <v>40</v>
      </c>
      <c r="D130" s="11" t="s">
        <v>41</v>
      </c>
      <c r="E130" s="11" t="s">
        <v>12</v>
      </c>
      <c r="F130" s="11" t="s">
        <v>42</v>
      </c>
      <c r="G130" s="11" t="s">
        <v>43</v>
      </c>
      <c r="H130" s="11" t="s">
        <v>44</v>
      </c>
      <c r="I130" s="11" t="s">
        <v>45</v>
      </c>
      <c r="J130" s="11" t="s">
        <v>46</v>
      </c>
      <c r="K130" s="11" t="s">
        <v>47</v>
      </c>
      <c r="L130" s="11" t="s">
        <v>48</v>
      </c>
      <c r="M130" s="11" t="s">
        <v>49</v>
      </c>
      <c r="N130" s="11" t="s">
        <v>50</v>
      </c>
      <c r="O130" s="11" t="s">
        <v>51</v>
      </c>
      <c r="P130" s="11" t="s">
        <v>52</v>
      </c>
      <c r="Q130" s="11" t="s">
        <v>53</v>
      </c>
      <c r="R130" s="11" t="s">
        <v>54</v>
      </c>
      <c r="S130" s="11" t="s">
        <v>55</v>
      </c>
    </row>
    <row r="131" ht="126" customHeight="1" spans="1:19" x14ac:dyDescent="0.25">
      <c r="A131" s="33">
        <v>1</v>
      </c>
      <c r="B131" s="34" t="s">
        <v>698</v>
      </c>
      <c r="C131" s="35" t="s">
        <v>699</v>
      </c>
      <c r="D131" s="36" t="s">
        <v>681</v>
      </c>
      <c r="E131" s="37" t="s">
        <v>700</v>
      </c>
      <c r="F131" s="38" t="s">
        <v>78</v>
      </c>
      <c r="G131" s="35" t="s">
        <v>683</v>
      </c>
      <c r="H131" s="39" t="s">
        <v>701</v>
      </c>
      <c r="I131" s="35" t="s">
        <v>702</v>
      </c>
      <c r="J131" s="35" t="s">
        <v>703</v>
      </c>
      <c r="K131" s="35" t="s">
        <v>704</v>
      </c>
      <c r="L131" s="36" t="s">
        <v>705</v>
      </c>
      <c r="M131" s="33" t="s">
        <v>67</v>
      </c>
      <c r="N131" s="45" t="s">
        <v>84</v>
      </c>
      <c r="O131" s="41" t="s">
        <v>69</v>
      </c>
      <c r="P131" s="42" t="s">
        <v>70</v>
      </c>
      <c r="Q131" s="43" t="s">
        <v>61</v>
      </c>
      <c r="R131" s="44" t="s">
        <v>71</v>
      </c>
      <c r="S131" s="35" t="s">
        <v>71</v>
      </c>
    </row>
    <row r="132" ht="126" customHeight="1" spans="1:19" x14ac:dyDescent="0.25">
      <c r="A132" s="47">
        <v>2</v>
      </c>
      <c r="B132" s="48" t="s">
        <v>706</v>
      </c>
      <c r="C132" s="49" t="s">
        <v>707</v>
      </c>
      <c r="D132" s="50" t="s">
        <v>681</v>
      </c>
      <c r="E132" s="51" t="s">
        <v>700</v>
      </c>
      <c r="F132" s="52" t="s">
        <v>78</v>
      </c>
      <c r="G132" s="49" t="s">
        <v>683</v>
      </c>
      <c r="H132" s="53" t="s">
        <v>708</v>
      </c>
      <c r="I132" s="49" t="s">
        <v>709</v>
      </c>
      <c r="J132" s="49" t="s">
        <v>710</v>
      </c>
      <c r="K132" s="49" t="s">
        <v>711</v>
      </c>
      <c r="L132" s="50" t="s">
        <v>712</v>
      </c>
      <c r="M132" s="47" t="s">
        <v>191</v>
      </c>
      <c r="N132" s="54" t="s">
        <v>84</v>
      </c>
      <c r="O132" s="60" t="s">
        <v>85</v>
      </c>
      <c r="P132" s="42" t="s">
        <v>70</v>
      </c>
      <c r="Q132" s="61" t="s">
        <v>61</v>
      </c>
      <c r="R132" s="62" t="s">
        <v>71</v>
      </c>
      <c r="S132" s="49" t="s">
        <v>71</v>
      </c>
    </row>
    <row r="133" ht="156" customHeight="1" spans="1:19" x14ac:dyDescent="0.25">
      <c r="A133" s="33">
        <v>3</v>
      </c>
      <c r="B133" s="34" t="s">
        <v>713</v>
      </c>
      <c r="C133" s="35" t="s">
        <v>714</v>
      </c>
      <c r="D133" s="36" t="s">
        <v>681</v>
      </c>
      <c r="E133" s="37" t="s">
        <v>700</v>
      </c>
      <c r="F133" s="38" t="s">
        <v>78</v>
      </c>
      <c r="G133" s="35" t="s">
        <v>715</v>
      </c>
      <c r="H133" s="39" t="s">
        <v>716</v>
      </c>
      <c r="I133" s="35" t="s">
        <v>717</v>
      </c>
      <c r="J133" s="35" t="s">
        <v>718</v>
      </c>
      <c r="K133" s="35" t="s">
        <v>719</v>
      </c>
      <c r="L133" s="36" t="s">
        <v>720</v>
      </c>
      <c r="M133" s="33" t="s">
        <v>191</v>
      </c>
      <c r="N133" s="45" t="s">
        <v>84</v>
      </c>
      <c r="O133" s="46" t="s">
        <v>85</v>
      </c>
      <c r="P133" s="42" t="s">
        <v>70</v>
      </c>
      <c r="Q133" s="43" t="s">
        <v>61</v>
      </c>
      <c r="R133" s="44" t="s">
        <v>71</v>
      </c>
      <c r="S133" s="35" t="s">
        <v>71</v>
      </c>
    </row>
    <row r="135" ht="28" customHeight="1" spans="1:19" x14ac:dyDescent="0.25">
      <c r="A135" s="30" t="s">
        <v>721</v>
      </c>
      <c r="B135" s="30"/>
      <c r="C135" s="30"/>
      <c r="D135" s="30"/>
      <c r="E135" s="30"/>
      <c r="F135" s="30"/>
      <c r="G135" s="30"/>
      <c r="H135" s="30"/>
      <c r="I135" s="30"/>
      <c r="J135" s="30"/>
      <c r="K135" s="30"/>
      <c r="L135" s="30"/>
      <c r="M135" s="30"/>
      <c r="N135" s="30"/>
      <c r="O135" s="30"/>
      <c r="P135" s="30"/>
      <c r="Q135" s="30"/>
      <c r="R135" s="30"/>
      <c r="S135" s="31" t="str">
        <f>HYPERLINK("#'Test Cases'!A5","↑ Summary")</f>
        <v>↑ Summary</v>
      </c>
    </row>
    <row r="136" ht="18" customHeight="1" spans="1:19" x14ac:dyDescent="0.25">
      <c r="A136" s="32" t="s">
        <v>722</v>
      </c>
      <c r="B136" s="32"/>
      <c r="C136" s="32"/>
      <c r="D136" s="32"/>
      <c r="E136" s="32"/>
      <c r="F136" s="32"/>
      <c r="G136" s="32"/>
      <c r="H136" s="32"/>
      <c r="I136" s="32"/>
      <c r="J136" s="32"/>
      <c r="K136" s="32"/>
      <c r="L136" s="32"/>
      <c r="M136" s="32"/>
      <c r="N136" s="32"/>
      <c r="O136" s="32"/>
      <c r="P136" s="32"/>
      <c r="Q136" s="32"/>
      <c r="R136" s="32"/>
      <c r="S136" s="32"/>
    </row>
    <row r="137" ht="30" customHeight="1" spans="1:19" x14ac:dyDescent="0.25">
      <c r="A137" s="11" t="s">
        <v>38</v>
      </c>
      <c r="B137" s="11" t="s">
        <v>39</v>
      </c>
      <c r="C137" s="11" t="s">
        <v>40</v>
      </c>
      <c r="D137" s="11" t="s">
        <v>41</v>
      </c>
      <c r="E137" s="11" t="s">
        <v>12</v>
      </c>
      <c r="F137" s="11" t="s">
        <v>42</v>
      </c>
      <c r="G137" s="11" t="s">
        <v>43</v>
      </c>
      <c r="H137" s="11" t="s">
        <v>44</v>
      </c>
      <c r="I137" s="11" t="s">
        <v>45</v>
      </c>
      <c r="J137" s="11" t="s">
        <v>46</v>
      </c>
      <c r="K137" s="11" t="s">
        <v>47</v>
      </c>
      <c r="L137" s="11" t="s">
        <v>48</v>
      </c>
      <c r="M137" s="11" t="s">
        <v>49</v>
      </c>
      <c r="N137" s="11" t="s">
        <v>50</v>
      </c>
      <c r="O137" s="11" t="s">
        <v>51</v>
      </c>
      <c r="P137" s="11" t="s">
        <v>52</v>
      </c>
      <c r="Q137" s="11" t="s">
        <v>53</v>
      </c>
      <c r="R137" s="11" t="s">
        <v>54</v>
      </c>
      <c r="S137" s="11" t="s">
        <v>55</v>
      </c>
    </row>
    <row r="138" ht="261" customHeight="1" spans="1:19" x14ac:dyDescent="0.25">
      <c r="A138" s="33">
        <v>1</v>
      </c>
      <c r="B138" s="34" t="s">
        <v>723</v>
      </c>
      <c r="C138" s="35" t="s">
        <v>724</v>
      </c>
      <c r="D138" s="36" t="s">
        <v>88</v>
      </c>
      <c r="E138" s="37" t="s">
        <v>725</v>
      </c>
      <c r="F138" s="38" t="s">
        <v>78</v>
      </c>
      <c r="G138" s="35" t="s">
        <v>726</v>
      </c>
      <c r="H138" s="39" t="s">
        <v>727</v>
      </c>
      <c r="I138" s="35" t="s">
        <v>728</v>
      </c>
      <c r="J138" s="35" t="s">
        <v>729</v>
      </c>
      <c r="K138" s="35" t="s">
        <v>730</v>
      </c>
      <c r="L138" s="36" t="s">
        <v>731</v>
      </c>
      <c r="M138" s="33" t="s">
        <v>88</v>
      </c>
      <c r="N138" s="45" t="s">
        <v>84</v>
      </c>
      <c r="O138" s="46" t="s">
        <v>85</v>
      </c>
      <c r="P138" s="56" t="s">
        <v>96</v>
      </c>
      <c r="Q138" s="58" t="s">
        <v>97</v>
      </c>
      <c r="R138" s="58" t="s">
        <v>98</v>
      </c>
      <c r="S138" s="35" t="s">
        <v>71</v>
      </c>
    </row>
    <row r="139" ht="126" customHeight="1" spans="1:19" x14ac:dyDescent="0.25">
      <c r="A139" s="47">
        <v>2</v>
      </c>
      <c r="B139" s="48" t="s">
        <v>732</v>
      </c>
      <c r="C139" s="49" t="s">
        <v>733</v>
      </c>
      <c r="D139" s="50" t="s">
        <v>681</v>
      </c>
      <c r="E139" s="51" t="s">
        <v>725</v>
      </c>
      <c r="F139" s="52" t="s">
        <v>78</v>
      </c>
      <c r="G139" s="49" t="s">
        <v>683</v>
      </c>
      <c r="H139" s="53" t="s">
        <v>734</v>
      </c>
      <c r="I139" s="49" t="s">
        <v>735</v>
      </c>
      <c r="J139" s="49" t="s">
        <v>736</v>
      </c>
      <c r="K139" s="49" t="s">
        <v>737</v>
      </c>
      <c r="L139" s="50" t="s">
        <v>738</v>
      </c>
      <c r="M139" s="47" t="s">
        <v>67</v>
      </c>
      <c r="N139" s="54" t="s">
        <v>84</v>
      </c>
      <c r="O139" s="59" t="s">
        <v>69</v>
      </c>
      <c r="P139" s="42" t="s">
        <v>70</v>
      </c>
      <c r="Q139" s="61" t="s">
        <v>61</v>
      </c>
      <c r="R139" s="62" t="s">
        <v>71</v>
      </c>
      <c r="S139" s="49" t="s">
        <v>71</v>
      </c>
    </row>
    <row r="140" ht="156" customHeight="1" spans="1:19" x14ac:dyDescent="0.25">
      <c r="A140" s="33">
        <v>3</v>
      </c>
      <c r="B140" s="34" t="s">
        <v>739</v>
      </c>
      <c r="C140" s="35" t="s">
        <v>740</v>
      </c>
      <c r="D140" s="36" t="s">
        <v>681</v>
      </c>
      <c r="E140" s="37" t="s">
        <v>725</v>
      </c>
      <c r="F140" s="38" t="s">
        <v>78</v>
      </c>
      <c r="G140" s="35" t="s">
        <v>715</v>
      </c>
      <c r="H140" s="39" t="s">
        <v>741</v>
      </c>
      <c r="I140" s="35" t="s">
        <v>742</v>
      </c>
      <c r="J140" s="35" t="s">
        <v>743</v>
      </c>
      <c r="K140" s="35" t="s">
        <v>744</v>
      </c>
      <c r="L140" s="36" t="s">
        <v>745</v>
      </c>
      <c r="M140" s="33" t="s">
        <v>191</v>
      </c>
      <c r="N140" s="45" t="s">
        <v>84</v>
      </c>
      <c r="O140" s="46" t="s">
        <v>85</v>
      </c>
      <c r="P140" s="42" t="s">
        <v>70</v>
      </c>
      <c r="Q140" s="43" t="s">
        <v>61</v>
      </c>
      <c r="R140" s="44" t="s">
        <v>71</v>
      </c>
      <c r="S140" s="35" t="s">
        <v>71</v>
      </c>
    </row>
    <row r="141" ht="111" customHeight="1" spans="1:19" x14ac:dyDescent="0.25">
      <c r="A141" s="47">
        <v>4</v>
      </c>
      <c r="B141" s="48" t="s">
        <v>746</v>
      </c>
      <c r="C141" s="49" t="s">
        <v>747</v>
      </c>
      <c r="D141" s="50" t="s">
        <v>681</v>
      </c>
      <c r="E141" s="51" t="s">
        <v>725</v>
      </c>
      <c r="F141" s="52" t="s">
        <v>78</v>
      </c>
      <c r="G141" s="49" t="s">
        <v>178</v>
      </c>
      <c r="H141" s="53" t="s">
        <v>748</v>
      </c>
      <c r="I141" s="49" t="s">
        <v>749</v>
      </c>
      <c r="J141" s="49" t="s">
        <v>750</v>
      </c>
      <c r="K141" s="49" t="s">
        <v>751</v>
      </c>
      <c r="L141" s="50" t="s">
        <v>752</v>
      </c>
      <c r="M141" s="47" t="s">
        <v>67</v>
      </c>
      <c r="N141" s="54" t="s">
        <v>84</v>
      </c>
      <c r="O141" s="59" t="s">
        <v>69</v>
      </c>
      <c r="P141" s="42" t="s">
        <v>70</v>
      </c>
      <c r="Q141" s="61" t="s">
        <v>61</v>
      </c>
      <c r="R141" s="62" t="s">
        <v>71</v>
      </c>
      <c r="S141" s="49" t="s">
        <v>71</v>
      </c>
    </row>
    <row r="143" ht="28" customHeight="1" spans="1:19" x14ac:dyDescent="0.25">
      <c r="A143" s="30" t="s">
        <v>753</v>
      </c>
      <c r="B143" s="30"/>
      <c r="C143" s="30"/>
      <c r="D143" s="30"/>
      <c r="E143" s="30"/>
      <c r="F143" s="30"/>
      <c r="G143" s="30"/>
      <c r="H143" s="30"/>
      <c r="I143" s="30"/>
      <c r="J143" s="30"/>
      <c r="K143" s="30"/>
      <c r="L143" s="30"/>
      <c r="M143" s="30"/>
      <c r="N143" s="30"/>
      <c r="O143" s="30"/>
      <c r="P143" s="30"/>
      <c r="Q143" s="30"/>
      <c r="R143" s="30"/>
      <c r="S143" s="31" t="str">
        <f>HYPERLINK("#'Test Cases'!A5","↑ Summary")</f>
        <v>↑ Summary</v>
      </c>
    </row>
    <row r="144" ht="18" customHeight="1" spans="1:19" x14ac:dyDescent="0.25">
      <c r="A144" s="32" t="s">
        <v>754</v>
      </c>
      <c r="B144" s="32"/>
      <c r="C144" s="32"/>
      <c r="D144" s="32"/>
      <c r="E144" s="32"/>
      <c r="F144" s="32"/>
      <c r="G144" s="32"/>
      <c r="H144" s="32"/>
      <c r="I144" s="32"/>
      <c r="J144" s="32"/>
      <c r="K144" s="32"/>
      <c r="L144" s="32"/>
      <c r="M144" s="32"/>
      <c r="N144" s="32"/>
      <c r="O144" s="32"/>
      <c r="P144" s="32"/>
      <c r="Q144" s="32"/>
      <c r="R144" s="32"/>
      <c r="S144" s="32"/>
    </row>
    <row r="145" ht="30" customHeight="1" spans="1:19" x14ac:dyDescent="0.25">
      <c r="A145" s="11" t="s">
        <v>38</v>
      </c>
      <c r="B145" s="11" t="s">
        <v>39</v>
      </c>
      <c r="C145" s="11" t="s">
        <v>40</v>
      </c>
      <c r="D145" s="11" t="s">
        <v>41</v>
      </c>
      <c r="E145" s="11" t="s">
        <v>12</v>
      </c>
      <c r="F145" s="11" t="s">
        <v>42</v>
      </c>
      <c r="G145" s="11" t="s">
        <v>43</v>
      </c>
      <c r="H145" s="11" t="s">
        <v>44</v>
      </c>
      <c r="I145" s="11" t="s">
        <v>45</v>
      </c>
      <c r="J145" s="11" t="s">
        <v>46</v>
      </c>
      <c r="K145" s="11" t="s">
        <v>47</v>
      </c>
      <c r="L145" s="11" t="s">
        <v>48</v>
      </c>
      <c r="M145" s="11" t="s">
        <v>49</v>
      </c>
      <c r="N145" s="11" t="s">
        <v>50</v>
      </c>
      <c r="O145" s="11" t="s">
        <v>51</v>
      </c>
      <c r="P145" s="11" t="s">
        <v>52</v>
      </c>
      <c r="Q145" s="11" t="s">
        <v>53</v>
      </c>
      <c r="R145" s="11" t="s">
        <v>54</v>
      </c>
      <c r="S145" s="11" t="s">
        <v>55</v>
      </c>
    </row>
    <row r="146" ht="186" customHeight="1" spans="1:19" x14ac:dyDescent="0.25">
      <c r="A146" s="33">
        <v>1</v>
      </c>
      <c r="B146" s="34" t="s">
        <v>755</v>
      </c>
      <c r="C146" s="35" t="s">
        <v>756</v>
      </c>
      <c r="D146" s="36" t="s">
        <v>88</v>
      </c>
      <c r="E146" s="37" t="s">
        <v>757</v>
      </c>
      <c r="F146" s="38" t="s">
        <v>78</v>
      </c>
      <c r="G146" s="35" t="s">
        <v>758</v>
      </c>
      <c r="H146" s="39" t="s">
        <v>759</v>
      </c>
      <c r="I146" s="35" t="s">
        <v>760</v>
      </c>
      <c r="J146" s="35" t="s">
        <v>761</v>
      </c>
      <c r="K146" s="35" t="s">
        <v>762</v>
      </c>
      <c r="L146" s="36" t="s">
        <v>763</v>
      </c>
      <c r="M146" s="33" t="s">
        <v>88</v>
      </c>
      <c r="N146" s="45" t="s">
        <v>84</v>
      </c>
      <c r="O146" s="41" t="s">
        <v>69</v>
      </c>
      <c r="P146" s="56" t="s">
        <v>96</v>
      </c>
      <c r="Q146" s="58" t="s">
        <v>97</v>
      </c>
      <c r="R146" s="58" t="s">
        <v>98</v>
      </c>
      <c r="S146" s="35" t="s">
        <v>71</v>
      </c>
    </row>
    <row r="147" ht="111" customHeight="1" spans="1:19" x14ac:dyDescent="0.25">
      <c r="A147" s="47">
        <v>2</v>
      </c>
      <c r="B147" s="48" t="s">
        <v>764</v>
      </c>
      <c r="C147" s="49" t="s">
        <v>765</v>
      </c>
      <c r="D147" s="50" t="s">
        <v>766</v>
      </c>
      <c r="E147" s="51" t="s">
        <v>757</v>
      </c>
      <c r="F147" s="52" t="s">
        <v>78</v>
      </c>
      <c r="G147" s="49" t="s">
        <v>767</v>
      </c>
      <c r="H147" s="53" t="s">
        <v>768</v>
      </c>
      <c r="I147" s="49" t="s">
        <v>769</v>
      </c>
      <c r="J147" s="49" t="s">
        <v>770</v>
      </c>
      <c r="K147" s="49" t="s">
        <v>771</v>
      </c>
      <c r="L147" s="50" t="s">
        <v>772</v>
      </c>
      <c r="M147" s="47" t="s">
        <v>67</v>
      </c>
      <c r="N147" s="54" t="s">
        <v>84</v>
      </c>
      <c r="O147" s="59" t="s">
        <v>69</v>
      </c>
      <c r="P147" s="42" t="s">
        <v>70</v>
      </c>
      <c r="Q147" s="61" t="s">
        <v>61</v>
      </c>
      <c r="R147" s="62" t="s">
        <v>71</v>
      </c>
      <c r="S147" s="49" t="s">
        <v>71</v>
      </c>
    </row>
    <row r="148" ht="111" customHeight="1" spans="1:19" x14ac:dyDescent="0.25">
      <c r="A148" s="33">
        <v>3</v>
      </c>
      <c r="B148" s="34" t="s">
        <v>773</v>
      </c>
      <c r="C148" s="35" t="s">
        <v>774</v>
      </c>
      <c r="D148" s="36" t="s">
        <v>766</v>
      </c>
      <c r="E148" s="37" t="s">
        <v>757</v>
      </c>
      <c r="F148" s="38" t="s">
        <v>78</v>
      </c>
      <c r="G148" s="35" t="s">
        <v>767</v>
      </c>
      <c r="H148" s="39" t="s">
        <v>775</v>
      </c>
      <c r="I148" s="35" t="s">
        <v>776</v>
      </c>
      <c r="J148" s="35" t="s">
        <v>777</v>
      </c>
      <c r="K148" s="35" t="s">
        <v>778</v>
      </c>
      <c r="L148" s="36" t="s">
        <v>779</v>
      </c>
      <c r="M148" s="33" t="s">
        <v>207</v>
      </c>
      <c r="N148" s="45" t="s">
        <v>84</v>
      </c>
      <c r="O148" s="41" t="s">
        <v>69</v>
      </c>
      <c r="P148" s="42" t="s">
        <v>70</v>
      </c>
      <c r="Q148" s="43" t="s">
        <v>61</v>
      </c>
      <c r="R148" s="44" t="s">
        <v>71</v>
      </c>
      <c r="S148" s="35" t="s">
        <v>71</v>
      </c>
    </row>
    <row r="150" ht="28" customHeight="1" spans="1:19" x14ac:dyDescent="0.25">
      <c r="A150" s="30" t="s">
        <v>780</v>
      </c>
      <c r="B150" s="30"/>
      <c r="C150" s="30"/>
      <c r="D150" s="30"/>
      <c r="E150" s="30"/>
      <c r="F150" s="30"/>
      <c r="G150" s="30"/>
      <c r="H150" s="30"/>
      <c r="I150" s="30"/>
      <c r="J150" s="30"/>
      <c r="K150" s="30"/>
      <c r="L150" s="30"/>
      <c r="M150" s="30"/>
      <c r="N150" s="30"/>
      <c r="O150" s="30"/>
      <c r="P150" s="30"/>
      <c r="Q150" s="30"/>
      <c r="R150" s="30"/>
      <c r="S150" s="31" t="str">
        <f>HYPERLINK("#'Test Cases'!A5","↑ Summary")</f>
        <v>↑ Summary</v>
      </c>
    </row>
    <row r="151" ht="18" customHeight="1" spans="1:19" x14ac:dyDescent="0.25">
      <c r="A151" s="32" t="s">
        <v>781</v>
      </c>
      <c r="B151" s="32"/>
      <c r="C151" s="32"/>
      <c r="D151" s="32"/>
      <c r="E151" s="32"/>
      <c r="F151" s="32"/>
      <c r="G151" s="32"/>
      <c r="H151" s="32"/>
      <c r="I151" s="32"/>
      <c r="J151" s="32"/>
      <c r="K151" s="32"/>
      <c r="L151" s="32"/>
      <c r="M151" s="32"/>
      <c r="N151" s="32"/>
      <c r="O151" s="32"/>
      <c r="P151" s="32"/>
      <c r="Q151" s="32"/>
      <c r="R151" s="32"/>
      <c r="S151" s="32"/>
    </row>
    <row r="152" ht="30" customHeight="1" spans="1:19" x14ac:dyDescent="0.25">
      <c r="A152" s="11" t="s">
        <v>38</v>
      </c>
      <c r="B152" s="11" t="s">
        <v>39</v>
      </c>
      <c r="C152" s="11" t="s">
        <v>40</v>
      </c>
      <c r="D152" s="11" t="s">
        <v>41</v>
      </c>
      <c r="E152" s="11" t="s">
        <v>12</v>
      </c>
      <c r="F152" s="11" t="s">
        <v>42</v>
      </c>
      <c r="G152" s="11" t="s">
        <v>43</v>
      </c>
      <c r="H152" s="11" t="s">
        <v>44</v>
      </c>
      <c r="I152" s="11" t="s">
        <v>45</v>
      </c>
      <c r="J152" s="11" t="s">
        <v>46</v>
      </c>
      <c r="K152" s="11" t="s">
        <v>47</v>
      </c>
      <c r="L152" s="11" t="s">
        <v>48</v>
      </c>
      <c r="M152" s="11" t="s">
        <v>49</v>
      </c>
      <c r="N152" s="11" t="s">
        <v>50</v>
      </c>
      <c r="O152" s="11" t="s">
        <v>51</v>
      </c>
      <c r="P152" s="11" t="s">
        <v>52</v>
      </c>
      <c r="Q152" s="11" t="s">
        <v>53</v>
      </c>
      <c r="R152" s="11" t="s">
        <v>54</v>
      </c>
      <c r="S152" s="11" t="s">
        <v>55</v>
      </c>
    </row>
    <row r="153" ht="111" customHeight="1" spans="1:19" x14ac:dyDescent="0.25">
      <c r="A153" s="33">
        <v>1</v>
      </c>
      <c r="B153" s="34" t="s">
        <v>782</v>
      </c>
      <c r="C153" s="35" t="s">
        <v>783</v>
      </c>
      <c r="D153" s="36" t="s">
        <v>766</v>
      </c>
      <c r="E153" s="37" t="s">
        <v>784</v>
      </c>
      <c r="F153" s="38" t="s">
        <v>78</v>
      </c>
      <c r="G153" s="35" t="s">
        <v>767</v>
      </c>
      <c r="H153" s="39" t="s">
        <v>785</v>
      </c>
      <c r="I153" s="35" t="s">
        <v>786</v>
      </c>
      <c r="J153" s="35" t="s">
        <v>787</v>
      </c>
      <c r="K153" s="35" t="s">
        <v>788</v>
      </c>
      <c r="L153" s="36" t="s">
        <v>789</v>
      </c>
      <c r="M153" s="33" t="s">
        <v>67</v>
      </c>
      <c r="N153" s="45" t="s">
        <v>84</v>
      </c>
      <c r="O153" s="41" t="s">
        <v>69</v>
      </c>
      <c r="P153" s="42" t="s">
        <v>70</v>
      </c>
      <c r="Q153" s="43" t="s">
        <v>61</v>
      </c>
      <c r="R153" s="44" t="s">
        <v>71</v>
      </c>
      <c r="S153" s="35" t="s">
        <v>71</v>
      </c>
    </row>
    <row r="154" ht="156" customHeight="1" spans="1:19" x14ac:dyDescent="0.25">
      <c r="A154" s="47">
        <v>2</v>
      </c>
      <c r="B154" s="48" t="s">
        <v>790</v>
      </c>
      <c r="C154" s="49" t="s">
        <v>791</v>
      </c>
      <c r="D154" s="50" t="s">
        <v>766</v>
      </c>
      <c r="E154" s="51" t="s">
        <v>784</v>
      </c>
      <c r="F154" s="52" t="s">
        <v>78</v>
      </c>
      <c r="G154" s="49" t="s">
        <v>767</v>
      </c>
      <c r="H154" s="53" t="s">
        <v>792</v>
      </c>
      <c r="I154" s="49" t="s">
        <v>793</v>
      </c>
      <c r="J154" s="49" t="s">
        <v>794</v>
      </c>
      <c r="K154" s="49" t="s">
        <v>795</v>
      </c>
      <c r="L154" s="50" t="s">
        <v>796</v>
      </c>
      <c r="M154" s="47" t="s">
        <v>67</v>
      </c>
      <c r="N154" s="54" t="s">
        <v>84</v>
      </c>
      <c r="O154" s="59" t="s">
        <v>69</v>
      </c>
      <c r="P154" s="42" t="s">
        <v>70</v>
      </c>
      <c r="Q154" s="61" t="s">
        <v>61</v>
      </c>
      <c r="R154" s="62" t="s">
        <v>71</v>
      </c>
      <c r="S154" s="49" t="s">
        <v>71</v>
      </c>
    </row>
    <row r="155" ht="111" customHeight="1" spans="1:19" x14ac:dyDescent="0.25">
      <c r="A155" s="33">
        <v>3</v>
      </c>
      <c r="B155" s="34" t="s">
        <v>797</v>
      </c>
      <c r="C155" s="35" t="s">
        <v>798</v>
      </c>
      <c r="D155" s="36" t="s">
        <v>766</v>
      </c>
      <c r="E155" s="37" t="s">
        <v>784</v>
      </c>
      <c r="F155" s="38" t="s">
        <v>78</v>
      </c>
      <c r="G155" s="35" t="s">
        <v>767</v>
      </c>
      <c r="H155" s="39" t="s">
        <v>799</v>
      </c>
      <c r="I155" s="35" t="s">
        <v>800</v>
      </c>
      <c r="J155" s="35" t="s">
        <v>801</v>
      </c>
      <c r="K155" s="35" t="s">
        <v>802</v>
      </c>
      <c r="L155" s="36" t="s">
        <v>803</v>
      </c>
      <c r="M155" s="33" t="s">
        <v>191</v>
      </c>
      <c r="N155" s="45" t="s">
        <v>84</v>
      </c>
      <c r="O155" s="46" t="s">
        <v>85</v>
      </c>
      <c r="P155" s="42" t="s">
        <v>70</v>
      </c>
      <c r="Q155" s="43" t="s">
        <v>61</v>
      </c>
      <c r="R155" s="44" t="s">
        <v>71</v>
      </c>
      <c r="S155" s="35" t="s">
        <v>71</v>
      </c>
    </row>
    <row r="156" ht="186" customHeight="1" spans="1:19" x14ac:dyDescent="0.25">
      <c r="A156" s="47">
        <v>4</v>
      </c>
      <c r="B156" s="48" t="s">
        <v>804</v>
      </c>
      <c r="C156" s="49" t="s">
        <v>805</v>
      </c>
      <c r="D156" s="50" t="s">
        <v>766</v>
      </c>
      <c r="E156" s="51" t="s">
        <v>784</v>
      </c>
      <c r="F156" s="52" t="s">
        <v>78</v>
      </c>
      <c r="G156" s="49" t="s">
        <v>767</v>
      </c>
      <c r="H156" s="53" t="s">
        <v>785</v>
      </c>
      <c r="I156" s="49" t="s">
        <v>806</v>
      </c>
      <c r="J156" s="49" t="s">
        <v>807</v>
      </c>
      <c r="K156" s="49" t="s">
        <v>808</v>
      </c>
      <c r="L156" s="50" t="s">
        <v>809</v>
      </c>
      <c r="M156" s="47" t="s">
        <v>67</v>
      </c>
      <c r="N156" s="54" t="s">
        <v>84</v>
      </c>
      <c r="O156" s="60" t="s">
        <v>85</v>
      </c>
      <c r="P156" s="42" t="s">
        <v>70</v>
      </c>
      <c r="Q156" s="61" t="s">
        <v>61</v>
      </c>
      <c r="R156" s="62" t="s">
        <v>71</v>
      </c>
      <c r="S156" s="49" t="s">
        <v>71</v>
      </c>
    </row>
    <row r="158" ht="28" customHeight="1" spans="1:19" x14ac:dyDescent="0.25">
      <c r="A158" s="30" t="s">
        <v>810</v>
      </c>
      <c r="B158" s="30"/>
      <c r="C158" s="30"/>
      <c r="D158" s="30"/>
      <c r="E158" s="30"/>
      <c r="F158" s="30"/>
      <c r="G158" s="30"/>
      <c r="H158" s="30"/>
      <c r="I158" s="30"/>
      <c r="J158" s="30"/>
      <c r="K158" s="30"/>
      <c r="L158" s="30"/>
      <c r="M158" s="30"/>
      <c r="N158" s="30"/>
      <c r="O158" s="30"/>
      <c r="P158" s="30"/>
      <c r="Q158" s="30"/>
      <c r="R158" s="30"/>
      <c r="S158" s="31" t="str">
        <f>HYPERLINK("#'Test Cases'!A5","↑ Summary")</f>
        <v>↑ Summary</v>
      </c>
    </row>
    <row r="159" ht="18" customHeight="1" spans="1:19" x14ac:dyDescent="0.25">
      <c r="A159" s="32" t="s">
        <v>811</v>
      </c>
      <c r="B159" s="32"/>
      <c r="C159" s="32"/>
      <c r="D159" s="32"/>
      <c r="E159" s="32"/>
      <c r="F159" s="32"/>
      <c r="G159" s="32"/>
      <c r="H159" s="32"/>
      <c r="I159" s="32"/>
      <c r="J159" s="32"/>
      <c r="K159" s="32"/>
      <c r="L159" s="32"/>
      <c r="M159" s="32"/>
      <c r="N159" s="32"/>
      <c r="O159" s="32"/>
      <c r="P159" s="32"/>
      <c r="Q159" s="32"/>
      <c r="R159" s="32"/>
      <c r="S159" s="32"/>
    </row>
    <row r="160" ht="30" customHeight="1" spans="1:19" x14ac:dyDescent="0.25">
      <c r="A160" s="11" t="s">
        <v>38</v>
      </c>
      <c r="B160" s="11" t="s">
        <v>39</v>
      </c>
      <c r="C160" s="11" t="s">
        <v>40</v>
      </c>
      <c r="D160" s="11" t="s">
        <v>41</v>
      </c>
      <c r="E160" s="11" t="s">
        <v>12</v>
      </c>
      <c r="F160" s="11" t="s">
        <v>42</v>
      </c>
      <c r="G160" s="11" t="s">
        <v>43</v>
      </c>
      <c r="H160" s="11" t="s">
        <v>44</v>
      </c>
      <c r="I160" s="11" t="s">
        <v>45</v>
      </c>
      <c r="J160" s="11" t="s">
        <v>46</v>
      </c>
      <c r="K160" s="11" t="s">
        <v>47</v>
      </c>
      <c r="L160" s="11" t="s">
        <v>48</v>
      </c>
      <c r="M160" s="11" t="s">
        <v>49</v>
      </c>
      <c r="N160" s="11" t="s">
        <v>50</v>
      </c>
      <c r="O160" s="11" t="s">
        <v>51</v>
      </c>
      <c r="P160" s="11" t="s">
        <v>52</v>
      </c>
      <c r="Q160" s="11" t="s">
        <v>53</v>
      </c>
      <c r="R160" s="11" t="s">
        <v>54</v>
      </c>
      <c r="S160" s="11" t="s">
        <v>55</v>
      </c>
    </row>
    <row r="161" ht="111" customHeight="1" spans="1:19" x14ac:dyDescent="0.25">
      <c r="A161" s="33">
        <v>1</v>
      </c>
      <c r="B161" s="34" t="s">
        <v>812</v>
      </c>
      <c r="C161" s="35" t="s">
        <v>813</v>
      </c>
      <c r="D161" s="36" t="s">
        <v>766</v>
      </c>
      <c r="E161" s="37" t="s">
        <v>814</v>
      </c>
      <c r="F161" s="38" t="s">
        <v>78</v>
      </c>
      <c r="G161" s="35" t="s">
        <v>815</v>
      </c>
      <c r="H161" s="39" t="s">
        <v>816</v>
      </c>
      <c r="I161" s="35" t="s">
        <v>817</v>
      </c>
      <c r="J161" s="35" t="s">
        <v>818</v>
      </c>
      <c r="K161" s="35" t="s">
        <v>819</v>
      </c>
      <c r="L161" s="36" t="s">
        <v>820</v>
      </c>
      <c r="M161" s="33" t="s">
        <v>191</v>
      </c>
      <c r="N161" s="45" t="s">
        <v>84</v>
      </c>
      <c r="O161" s="46" t="s">
        <v>85</v>
      </c>
      <c r="P161" s="56" t="s">
        <v>96</v>
      </c>
      <c r="Q161" s="58" t="s">
        <v>821</v>
      </c>
      <c r="R161" s="58" t="s">
        <v>822</v>
      </c>
      <c r="S161" s="35" t="s">
        <v>71</v>
      </c>
    </row>
    <row r="162" ht="111" customHeight="1" spans="1:19" x14ac:dyDescent="0.25">
      <c r="A162" s="47">
        <v>2</v>
      </c>
      <c r="B162" s="48" t="s">
        <v>823</v>
      </c>
      <c r="C162" s="49" t="s">
        <v>824</v>
      </c>
      <c r="D162" s="50" t="s">
        <v>766</v>
      </c>
      <c r="E162" s="51" t="s">
        <v>814</v>
      </c>
      <c r="F162" s="52" t="s">
        <v>78</v>
      </c>
      <c r="G162" s="49" t="s">
        <v>767</v>
      </c>
      <c r="H162" s="53" t="s">
        <v>825</v>
      </c>
      <c r="I162" s="49" t="s">
        <v>826</v>
      </c>
      <c r="J162" s="49" t="s">
        <v>827</v>
      </c>
      <c r="K162" s="49" t="s">
        <v>828</v>
      </c>
      <c r="L162" s="50" t="s">
        <v>829</v>
      </c>
      <c r="M162" s="47" t="s">
        <v>191</v>
      </c>
      <c r="N162" s="54" t="s">
        <v>84</v>
      </c>
      <c r="O162" s="60" t="s">
        <v>85</v>
      </c>
      <c r="P162" s="42" t="s">
        <v>70</v>
      </c>
      <c r="Q162" s="61" t="s">
        <v>61</v>
      </c>
      <c r="R162" s="62" t="s">
        <v>71</v>
      </c>
      <c r="S162" s="49" t="s">
        <v>71</v>
      </c>
    </row>
    <row r="164" ht="28" customHeight="1" spans="1:19" x14ac:dyDescent="0.25">
      <c r="A164" s="30" t="s">
        <v>830</v>
      </c>
      <c r="B164" s="30"/>
      <c r="C164" s="30"/>
      <c r="D164" s="30"/>
      <c r="E164" s="30"/>
      <c r="F164" s="30"/>
      <c r="G164" s="30"/>
      <c r="H164" s="30"/>
      <c r="I164" s="30"/>
      <c r="J164" s="30"/>
      <c r="K164" s="30"/>
      <c r="L164" s="30"/>
      <c r="M164" s="30"/>
      <c r="N164" s="30"/>
      <c r="O164" s="30"/>
      <c r="P164" s="30"/>
      <c r="Q164" s="30"/>
      <c r="R164" s="30"/>
      <c r="S164" s="31" t="str">
        <f>HYPERLINK("#'Test Cases'!A5","↑ Summary")</f>
        <v>↑ Summary</v>
      </c>
    </row>
    <row r="165" ht="18" customHeight="1" spans="1:19" x14ac:dyDescent="0.25">
      <c r="A165" s="32" t="s">
        <v>831</v>
      </c>
      <c r="B165" s="32"/>
      <c r="C165" s="32"/>
      <c r="D165" s="32"/>
      <c r="E165" s="32"/>
      <c r="F165" s="32"/>
      <c r="G165" s="32"/>
      <c r="H165" s="32"/>
      <c r="I165" s="32"/>
      <c r="J165" s="32"/>
      <c r="K165" s="32"/>
      <c r="L165" s="32"/>
      <c r="M165" s="32"/>
      <c r="N165" s="32"/>
      <c r="O165" s="32"/>
      <c r="P165" s="32"/>
      <c r="Q165" s="32"/>
      <c r="R165" s="32"/>
      <c r="S165" s="32"/>
    </row>
    <row r="166" ht="30" customHeight="1" spans="1:19" x14ac:dyDescent="0.25">
      <c r="A166" s="11" t="s">
        <v>38</v>
      </c>
      <c r="B166" s="11" t="s">
        <v>39</v>
      </c>
      <c r="C166" s="11" t="s">
        <v>40</v>
      </c>
      <c r="D166" s="11" t="s">
        <v>41</v>
      </c>
      <c r="E166" s="11" t="s">
        <v>12</v>
      </c>
      <c r="F166" s="11" t="s">
        <v>42</v>
      </c>
      <c r="G166" s="11" t="s">
        <v>43</v>
      </c>
      <c r="H166" s="11" t="s">
        <v>44</v>
      </c>
      <c r="I166" s="11" t="s">
        <v>45</v>
      </c>
      <c r="J166" s="11" t="s">
        <v>46</v>
      </c>
      <c r="K166" s="11" t="s">
        <v>47</v>
      </c>
      <c r="L166" s="11" t="s">
        <v>48</v>
      </c>
      <c r="M166" s="11" t="s">
        <v>49</v>
      </c>
      <c r="N166" s="11" t="s">
        <v>50</v>
      </c>
      <c r="O166" s="11" t="s">
        <v>51</v>
      </c>
      <c r="P166" s="11" t="s">
        <v>52</v>
      </c>
      <c r="Q166" s="11" t="s">
        <v>53</v>
      </c>
      <c r="R166" s="11" t="s">
        <v>54</v>
      </c>
      <c r="S166" s="11" t="s">
        <v>55</v>
      </c>
    </row>
    <row r="167" ht="141" customHeight="1" spans="1:19" x14ac:dyDescent="0.25">
      <c r="A167" s="33">
        <v>1</v>
      </c>
      <c r="B167" s="34" t="s">
        <v>832</v>
      </c>
      <c r="C167" s="35" t="s">
        <v>833</v>
      </c>
      <c r="D167" s="36" t="s">
        <v>76</v>
      </c>
      <c r="E167" s="37" t="s">
        <v>35</v>
      </c>
      <c r="F167" s="38" t="s">
        <v>834</v>
      </c>
      <c r="G167" s="35" t="s">
        <v>61</v>
      </c>
      <c r="H167" s="39" t="s">
        <v>835</v>
      </c>
      <c r="I167" s="35" t="s">
        <v>836</v>
      </c>
      <c r="J167" s="35" t="s">
        <v>837</v>
      </c>
      <c r="K167" s="35" t="s">
        <v>838</v>
      </c>
      <c r="L167" s="36" t="s">
        <v>839</v>
      </c>
      <c r="M167" s="33" t="s">
        <v>76</v>
      </c>
      <c r="N167" s="45" t="s">
        <v>84</v>
      </c>
      <c r="O167" s="41" t="s">
        <v>69</v>
      </c>
      <c r="P167" s="42" t="s">
        <v>70</v>
      </c>
      <c r="Q167" s="43" t="s">
        <v>61</v>
      </c>
      <c r="R167" s="44" t="s">
        <v>71</v>
      </c>
      <c r="S167" s="35" t="s">
        <v>71</v>
      </c>
    </row>
    <row r="168" ht="171" customHeight="1" spans="1:19" x14ac:dyDescent="0.25">
      <c r="A168" s="47">
        <v>2</v>
      </c>
      <c r="B168" s="48" t="s">
        <v>840</v>
      </c>
      <c r="C168" s="49" t="s">
        <v>841</v>
      </c>
      <c r="D168" s="50" t="s">
        <v>76</v>
      </c>
      <c r="E168" s="51" t="s">
        <v>35</v>
      </c>
      <c r="F168" s="52" t="s">
        <v>834</v>
      </c>
      <c r="G168" s="49" t="s">
        <v>61</v>
      </c>
      <c r="H168" s="53" t="s">
        <v>842</v>
      </c>
      <c r="I168" s="49" t="s">
        <v>843</v>
      </c>
      <c r="J168" s="49" t="s">
        <v>844</v>
      </c>
      <c r="K168" s="49" t="s">
        <v>845</v>
      </c>
      <c r="L168" s="50" t="s">
        <v>846</v>
      </c>
      <c r="M168" s="47" t="s">
        <v>76</v>
      </c>
      <c r="N168" s="54" t="s">
        <v>84</v>
      </c>
      <c r="O168" s="60" t="s">
        <v>85</v>
      </c>
      <c r="P168" s="42" t="s">
        <v>70</v>
      </c>
      <c r="Q168" s="61" t="s">
        <v>61</v>
      </c>
      <c r="R168" s="62" t="s">
        <v>71</v>
      </c>
      <c r="S168" s="49" t="s">
        <v>71</v>
      </c>
    </row>
    <row r="169" ht="171" customHeight="1" spans="1:19" x14ac:dyDescent="0.25">
      <c r="A169" s="33">
        <v>3</v>
      </c>
      <c r="B169" s="34" t="s">
        <v>847</v>
      </c>
      <c r="C169" s="35" t="s">
        <v>848</v>
      </c>
      <c r="D169" s="36" t="s">
        <v>88</v>
      </c>
      <c r="E169" s="37" t="s">
        <v>35</v>
      </c>
      <c r="F169" s="38" t="s">
        <v>834</v>
      </c>
      <c r="G169" s="35" t="s">
        <v>122</v>
      </c>
      <c r="H169" s="39" t="s">
        <v>849</v>
      </c>
      <c r="I169" s="35" t="s">
        <v>850</v>
      </c>
      <c r="J169" s="35" t="s">
        <v>851</v>
      </c>
      <c r="K169" s="35" t="s">
        <v>852</v>
      </c>
      <c r="L169" s="36" t="s">
        <v>853</v>
      </c>
      <c r="M169" s="33" t="s">
        <v>88</v>
      </c>
      <c r="N169" s="45" t="s">
        <v>84</v>
      </c>
      <c r="O169" s="66" t="s">
        <v>367</v>
      </c>
      <c r="P169" s="56" t="s">
        <v>96</v>
      </c>
      <c r="Q169" s="58" t="s">
        <v>97</v>
      </c>
      <c r="R169" s="58" t="s">
        <v>98</v>
      </c>
      <c r="S169" s="35" t="s">
        <v>71</v>
      </c>
    </row>
    <row r="170" ht="231" customHeight="1" spans="1:19" x14ac:dyDescent="0.25">
      <c r="A170" s="47">
        <v>4</v>
      </c>
      <c r="B170" s="48" t="s">
        <v>854</v>
      </c>
      <c r="C170" s="49" t="s">
        <v>855</v>
      </c>
      <c r="D170" s="50" t="s">
        <v>88</v>
      </c>
      <c r="E170" s="51" t="s">
        <v>35</v>
      </c>
      <c r="F170" s="52" t="s">
        <v>834</v>
      </c>
      <c r="G170" s="49" t="s">
        <v>160</v>
      </c>
      <c r="H170" s="53" t="s">
        <v>856</v>
      </c>
      <c r="I170" s="49" t="s">
        <v>857</v>
      </c>
      <c r="J170" s="49" t="s">
        <v>858</v>
      </c>
      <c r="K170" s="49" t="s">
        <v>859</v>
      </c>
      <c r="L170" s="50" t="s">
        <v>860</v>
      </c>
      <c r="M170" s="47" t="s">
        <v>88</v>
      </c>
      <c r="N170" s="54" t="s">
        <v>84</v>
      </c>
      <c r="O170" s="59" t="s">
        <v>69</v>
      </c>
      <c r="P170" s="56" t="s">
        <v>96</v>
      </c>
      <c r="Q170" s="57" t="s">
        <v>166</v>
      </c>
      <c r="R170" s="57" t="s">
        <v>167</v>
      </c>
      <c r="S170" s="49" t="s">
        <v>71</v>
      </c>
    </row>
    <row r="171" ht="201" customHeight="1" spans="1:19" x14ac:dyDescent="0.25">
      <c r="A171" s="33">
        <v>5</v>
      </c>
      <c r="B171" s="34" t="s">
        <v>861</v>
      </c>
      <c r="C171" s="35" t="s">
        <v>862</v>
      </c>
      <c r="D171" s="36" t="s">
        <v>170</v>
      </c>
      <c r="E171" s="37" t="s">
        <v>35</v>
      </c>
      <c r="F171" s="38" t="s">
        <v>834</v>
      </c>
      <c r="G171" s="35" t="s">
        <v>863</v>
      </c>
      <c r="H171" s="39" t="s">
        <v>864</v>
      </c>
      <c r="I171" s="35" t="s">
        <v>865</v>
      </c>
      <c r="J171" s="35" t="s">
        <v>866</v>
      </c>
      <c r="K171" s="35" t="s">
        <v>867</v>
      </c>
      <c r="L171" s="36" t="s">
        <v>868</v>
      </c>
      <c r="M171" s="33" t="s">
        <v>67</v>
      </c>
      <c r="N171" s="45" t="s">
        <v>84</v>
      </c>
      <c r="O171" s="66" t="s">
        <v>367</v>
      </c>
      <c r="P171" s="56" t="s">
        <v>96</v>
      </c>
      <c r="Q171" s="58" t="s">
        <v>869</v>
      </c>
      <c r="R171" s="58" t="s">
        <v>870</v>
      </c>
      <c r="S171" s="35" t="s">
        <v>71</v>
      </c>
    </row>
    <row r="172" ht="231" customHeight="1" spans="1:19" x14ac:dyDescent="0.25">
      <c r="A172" s="47">
        <v>6</v>
      </c>
      <c r="B172" s="48" t="s">
        <v>871</v>
      </c>
      <c r="C172" s="49" t="s">
        <v>872</v>
      </c>
      <c r="D172" s="50" t="s">
        <v>201</v>
      </c>
      <c r="E172" s="51" t="s">
        <v>35</v>
      </c>
      <c r="F172" s="52" t="s">
        <v>834</v>
      </c>
      <c r="G172" s="49" t="s">
        <v>61</v>
      </c>
      <c r="H172" s="53" t="s">
        <v>873</v>
      </c>
      <c r="I172" s="49" t="s">
        <v>874</v>
      </c>
      <c r="J172" s="49" t="s">
        <v>875</v>
      </c>
      <c r="K172" s="49" t="s">
        <v>876</v>
      </c>
      <c r="L172" s="50" t="s">
        <v>877</v>
      </c>
      <c r="M172" s="47" t="s">
        <v>207</v>
      </c>
      <c r="N172" s="54" t="s">
        <v>84</v>
      </c>
      <c r="O172" s="59" t="s">
        <v>69</v>
      </c>
      <c r="P172" s="42" t="s">
        <v>70</v>
      </c>
      <c r="Q172" s="61" t="s">
        <v>61</v>
      </c>
      <c r="R172" s="62" t="s">
        <v>71</v>
      </c>
      <c r="S172" s="49" t="s">
        <v>71</v>
      </c>
    </row>
    <row r="173" ht="216" customHeight="1" spans="1:19" x14ac:dyDescent="0.25">
      <c r="A173" s="33">
        <v>7</v>
      </c>
      <c r="B173" s="34" t="s">
        <v>878</v>
      </c>
      <c r="C173" s="35" t="s">
        <v>879</v>
      </c>
      <c r="D173" s="36" t="s">
        <v>201</v>
      </c>
      <c r="E173" s="37" t="s">
        <v>35</v>
      </c>
      <c r="F173" s="38" t="s">
        <v>834</v>
      </c>
      <c r="G173" s="35" t="s">
        <v>880</v>
      </c>
      <c r="H173" s="39" t="s">
        <v>881</v>
      </c>
      <c r="I173" s="35" t="s">
        <v>882</v>
      </c>
      <c r="J173" s="35" t="s">
        <v>883</v>
      </c>
      <c r="K173" s="35" t="s">
        <v>884</v>
      </c>
      <c r="L173" s="36" t="s">
        <v>885</v>
      </c>
      <c r="M173" s="33" t="s">
        <v>207</v>
      </c>
      <c r="N173" s="45" t="s">
        <v>84</v>
      </c>
      <c r="O173" s="46" t="s">
        <v>85</v>
      </c>
      <c r="P173" s="56" t="s">
        <v>96</v>
      </c>
      <c r="Q173" s="58" t="s">
        <v>886</v>
      </c>
      <c r="R173" s="58" t="s">
        <v>887</v>
      </c>
      <c r="S173" s="35" t="s">
        <v>71</v>
      </c>
    </row>
    <row r="174" ht="126" customHeight="1" spans="1:19" x14ac:dyDescent="0.25">
      <c r="A174" s="47">
        <v>8</v>
      </c>
      <c r="B174" s="48" t="s">
        <v>888</v>
      </c>
      <c r="C174" s="49" t="s">
        <v>889</v>
      </c>
      <c r="D174" s="50" t="s">
        <v>681</v>
      </c>
      <c r="E174" s="51" t="s">
        <v>35</v>
      </c>
      <c r="F174" s="52" t="s">
        <v>834</v>
      </c>
      <c r="G174" s="49" t="s">
        <v>178</v>
      </c>
      <c r="H174" s="53" t="s">
        <v>890</v>
      </c>
      <c r="I174" s="49" t="s">
        <v>891</v>
      </c>
      <c r="J174" s="49" t="s">
        <v>892</v>
      </c>
      <c r="K174" s="49" t="s">
        <v>893</v>
      </c>
      <c r="L174" s="50" t="s">
        <v>894</v>
      </c>
      <c r="M174" s="47" t="s">
        <v>191</v>
      </c>
      <c r="N174" s="54" t="s">
        <v>84</v>
      </c>
      <c r="O174" s="60" t="s">
        <v>85</v>
      </c>
      <c r="P174" s="42" t="s">
        <v>70</v>
      </c>
      <c r="Q174" s="61" t="s">
        <v>61</v>
      </c>
      <c r="R174" s="62" t="s">
        <v>71</v>
      </c>
      <c r="S174" s="49" t="s">
        <v>71</v>
      </c>
    </row>
    <row r="175" ht="111" customHeight="1" spans="1:19" x14ac:dyDescent="0.25">
      <c r="A175" s="33">
        <v>9</v>
      </c>
      <c r="B175" s="34" t="s">
        <v>895</v>
      </c>
      <c r="C175" s="35" t="s">
        <v>896</v>
      </c>
      <c r="D175" s="36" t="s">
        <v>210</v>
      </c>
      <c r="E175" s="37" t="s">
        <v>35</v>
      </c>
      <c r="F175" s="38" t="s">
        <v>834</v>
      </c>
      <c r="G175" s="35" t="s">
        <v>61</v>
      </c>
      <c r="H175" s="39" t="s">
        <v>897</v>
      </c>
      <c r="I175" s="35" t="s">
        <v>898</v>
      </c>
      <c r="J175" s="35" t="s">
        <v>899</v>
      </c>
      <c r="K175" s="35" t="s">
        <v>900</v>
      </c>
      <c r="L175" s="36" t="s">
        <v>901</v>
      </c>
      <c r="M175" s="33" t="s">
        <v>67</v>
      </c>
      <c r="N175" s="45" t="s">
        <v>84</v>
      </c>
      <c r="O175" s="46" t="s">
        <v>85</v>
      </c>
      <c r="P175" s="42" t="s">
        <v>70</v>
      </c>
      <c r="Q175" s="43" t="s">
        <v>61</v>
      </c>
      <c r="R175" s="44" t="s">
        <v>71</v>
      </c>
      <c r="S175" s="35" t="s">
        <v>71</v>
      </c>
    </row>
    <row r="176" ht="126" customHeight="1" spans="1:19" x14ac:dyDescent="0.25">
      <c r="A176" s="47">
        <v>10</v>
      </c>
      <c r="B176" s="48" t="s">
        <v>902</v>
      </c>
      <c r="C176" s="49" t="s">
        <v>903</v>
      </c>
      <c r="D176" s="50" t="s">
        <v>210</v>
      </c>
      <c r="E176" s="51" t="s">
        <v>35</v>
      </c>
      <c r="F176" s="52" t="s">
        <v>834</v>
      </c>
      <c r="G176" s="49" t="s">
        <v>178</v>
      </c>
      <c r="H176" s="53" t="s">
        <v>904</v>
      </c>
      <c r="I176" s="49" t="s">
        <v>905</v>
      </c>
      <c r="J176" s="49" t="s">
        <v>906</v>
      </c>
      <c r="K176" s="49" t="s">
        <v>907</v>
      </c>
      <c r="L176" s="50" t="s">
        <v>908</v>
      </c>
      <c r="M176" s="47" t="s">
        <v>67</v>
      </c>
      <c r="N176" s="54" t="s">
        <v>84</v>
      </c>
      <c r="O176" s="59" t="s">
        <v>69</v>
      </c>
      <c r="P176" s="42" t="s">
        <v>70</v>
      </c>
      <c r="Q176" s="61" t="s">
        <v>61</v>
      </c>
      <c r="R176" s="62" t="s">
        <v>71</v>
      </c>
      <c r="S176" s="49" t="s">
        <v>71</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73:R73"/>
    <mergeCell ref="A74:S74"/>
    <mergeCell ref="A87:R87"/>
    <mergeCell ref="A88:S88"/>
    <mergeCell ref="A106:R106"/>
    <mergeCell ref="A107:S107"/>
    <mergeCell ref="A122:R122"/>
    <mergeCell ref="A123:S123"/>
    <mergeCell ref="A128:R128"/>
    <mergeCell ref="A129:S129"/>
    <mergeCell ref="A135:R135"/>
    <mergeCell ref="A136:S136"/>
    <mergeCell ref="A143:R143"/>
    <mergeCell ref="A144:S144"/>
    <mergeCell ref="A150:R150"/>
    <mergeCell ref="A151:S151"/>
    <mergeCell ref="A158:R158"/>
    <mergeCell ref="A159:S159"/>
    <mergeCell ref="A164:R164"/>
    <mergeCell ref="A165:S165"/>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2026-10-05T05:15:15Z</dcterms:created>
  <dcterms:modified xsi:type="dcterms:W3CDTF">2026-10-05T05:15:15Z</dcterms:modified>
</cp:coreProperties>
</file>