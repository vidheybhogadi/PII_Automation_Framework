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<sst xmlns="http://schemas.openxmlformats.org/spreadsheetml/2006/main" count="1817" uniqueCount="729">
  <si>
    <t>PII Service — API Test Cases</t>
  </si>
  <si>
    <t>Last run: 2026-09-28 08:45 UTC  ·  environment local (no service)  ·  projects=unit  ·  took 4.3s</t>
  </si>
  <si>
    <t>Total test cases: 133</t>
  </si>
  <si>
    <t>✔ Pass: 0</t>
  </si>
  <si>
    <t>✘ Fail: 0</t>
  </si>
  <si>
    <t>— Not Tested: 133</t>
  </si>
  <si>
    <t>Pass rate of tests run: N/A</t>
  </si>
  <si>
    <t>SUMMARY BY ENDPOINT</t>
  </si>
  <si>
    <t>#</t>
  </si>
  <si>
    <t>Endpoint</t>
  </si>
  <si>
    <t>Method and path</t>
  </si>
  <si>
    <t>Test cases</t>
  </si>
  <si>
    <t>Pass</t>
  </si>
  <si>
    <t>Fail</t>
  </si>
  <si>
    <t>Not Tested</t>
  </si>
  <si>
    <t>Pass rate</t>
  </si>
  <si>
    <t>Go to</t>
  </si>
  <si>
    <t>GET /health/ready</t>
  </si>
  <si>
    <t>N/A</t>
  </si>
  <si>
    <t>POST /api/v1/pii</t>
  </si>
  <si>
    <t>POST /api/v1/pii/read</t>
  </si>
  <si>
    <t>POST /api/v1/pii/{field}/search</t>
  </si>
  <si>
    <t>POST /api/v1/pii/batch/read</t>
  </si>
  <si>
    <t>POST /api/v1/transient/phones</t>
  </si>
  <si>
    <t>POST /api/v1/transient/phones/resolve</t>
  </si>
  <si>
    <t>POST /api/v1/transient/phones/promote</t>
  </si>
  <si>
    <t>POST /api/v1/free-text/keys</t>
  </si>
  <si>
    <t>POST /api/v1/free-text/keys/read</t>
  </si>
  <si>
    <t>POST /api/v1/free-text/keys/revoke</t>
  </si>
  <si>
    <t>several endpoints</t>
  </si>
  <si>
    <t>1.  Health check     GET /health/ready        2 test cases  ·  ✔ 0  ·  ✘ 0  ·  — 2</t>
  </si>
  <si>
    <t>What this endpoint does: Readiness check.</t>
  </si>
  <si>
    <t>S/No</t>
  </si>
  <si>
    <t>TC ID</t>
  </si>
  <si>
    <t>Test Case Description</t>
  </si>
  <si>
    <t>Why It Matters</t>
  </si>
  <si>
    <t>Steps</t>
  </si>
  <si>
    <t>Expected Result</t>
  </si>
  <si>
    <t>Type</t>
  </si>
  <si>
    <t>Suite</t>
  </si>
  <si>
    <t>Priority</t>
  </si>
  <si>
    <t>Preconditions</t>
  </si>
  <si>
    <t>Status</t>
  </si>
  <si>
    <t>Actual Result / Remarks</t>
  </si>
  <si>
    <t>Tester Notes</t>
  </si>
  <si>
    <t>PII-HLT-001</t>
  </si>
  <si>
    <r>
      <rPr>
        <b/>
        <color rgb="FF0F172A"/>
      </rPr>
      <t>Health check returns 200 when the service is ready, without needing a signature</t>
    </r>
    <r>
      <rPr>
        <color rgb="FF334155"/>
      </rPr>
      <t xml:space="preserve">
Calls the service’s health check (a simple “are you up and ready?” address) without any signature and checks it answers “ready”.</t>
    </r>
  </si>
  <si>
    <t>Monitoring and deployments rely on this check to know the service can take traffic; if it failed or demanded a signature, a healthy service could be taken offline or a broken one kept live.</t>
  </si>
  <si>
    <t xml:space="preserve">1. Send an unsigned request to the readiness health check
2. Check the status code and the reply message
3. Check the reply contains only the documented fields</t>
  </si>
  <si>
    <t>200 OK with the message "Service is ready"; the data says status "ready", and both the outer reply and the data contain exactly the documented fields (data has only "status").</t>
  </si>
  <si>
    <t>Positive</t>
  </si>
  <si>
    <t>Smoke</t>
  </si>
  <si>
    <t>High</t>
  </si>
  <si>
    <t/>
  </si>
  <si>
    <t>— Not Tested</t>
  </si>
  <si>
    <t>Not part of the last run</t>
  </si>
  <si>
    <t>PII-HLT-002</t>
  </si>
  <si>
    <r>
      <rPr>
        <b/>
        <color rgb="FF0F172A"/>
      </rPr>
      <t>Health check returns 503 SERVICE_NOT_READY when the service is not ready</t>
    </r>
    <r>
      <rPr>
        <color rgb="FF334155"/>
      </rPr>
      <t xml:space="preserve">
Will check that the health check answers 503 SERVICE_NOT_READY when the service is not ready (for example, its database is down).</t>
    </r>
  </si>
  <si>
    <t>If a broken service still reported “ready”, traffic would be sent to it and real requests would fail.</t>
  </si>
  <si>
    <t xml:space="preserve">1. Put a test instance of the service into a not-ready state (for example, database unavailable)
2. Call the readiness health check
3. Check the status code and reply body</t>
  </si>
  <si>
    <t>503 Service Unavailable with SERVICE_NOT_READY and the agreed reply shape.</t>
  </si>
  <si>
    <t>Negative</t>
  </si>
  <si>
    <t>Regression</t>
  </si>
  <si>
    <t>Medium</t>
  </si>
  <si>
    <t>Waiting on Dev question Q-17 — a safe way to make the service not ready (a test hook or a dedicated instance) is needed; shows as Not Tested until answered.</t>
  </si>
  <si>
    <t>2.  Save PII     POST /api/v1/pii        55 test cases  ·  ✔ 0  ·  ✘ 0  ·  — 55</t>
  </si>
  <si>
    <t>What this endpoint does: Create or replace one PII field.</t>
  </si>
  <si>
    <t>PII-AUTH-001</t>
  </si>
  <si>
    <r>
      <rPr>
        <b/>
        <color rgb="FF0F172A"/>
      </rPr>
      <t>A correctly signed request is accepted (baseline for all signing tests)</t>
    </r>
    <r>
      <rPr>
        <color rgb="FF334155"/>
      </rPr>
      <t xml:space="preserve">
Sends a normal, correctly signed save request for a fake user’s name (the signature is a cryptographic stamp proving who sent the request and that it was not changed).</t>
    </r>
  </si>
  <si>
    <t>This is the baseline for every signing test: if a valid request fails, the rejections in the other tests prove nothing.</t>
  </si>
  <si>
    <t xml:space="preserve">1. Build a save request for a fake user’s name
2. Sign it with the registered caller’s key
3. Send it
4. Check the response</t>
  </si>
  <si>
    <t>201 Created; the response body matches the documented save-response format.</t>
  </si>
  <si>
    <t>PII-AUTH-002</t>
  </si>
  <si>
    <r>
      <rPr>
        <b/>
        <color rgb="FF0F172A"/>
      </rPr>
      <t>Request with no signature is rejected (401) and nothing is saved</t>
    </r>
    <r>
      <rPr>
        <color rgb="FF334155"/>
      </rPr>
      <t xml:space="preserve">
Sends a save request with the signature header removed (the signature is the cryptographic stamp proving who sent the request).</t>
    </r>
  </si>
  <si>
    <t>Without a signature anyone could pretend to be a registered app; the service must refuse unsigned requests and store nothing.</t>
  </si>
  <si>
    <t xml:space="preserve">1. Build a normal save request for a fake user
2. Remove the signature header
3. Send it
4. Try to read the value back</t>
  </si>
  <si>
    <t>401 Unauthorized with a documented authentication error code; the read-back confirms nothing was saved.</t>
  </si>
  <si>
    <t>Security</t>
  </si>
  <si>
    <t>Critical</t>
  </si>
  <si>
    <t>PII-AUTH-003</t>
  </si>
  <si>
    <r>
      <rPr>
        <b/>
        <color rgb="FF0F172A"/>
      </rPr>
      <t>Request with an empty signature is rejected (401) and nothing is saved</t>
    </r>
    <r>
      <rPr>
        <color rgb="FF334155"/>
      </rPr>
      <t xml:space="preserve">
Sends a save request whose signature header is present but empty.</t>
    </r>
  </si>
  <si>
    <t>If an empty signature were treated as valid, an attacker could skip signing entirely and still be let in.</t>
  </si>
  <si>
    <t xml:space="preserve">1. Build a normal save request for a fake user
2. Set the signature header to an empty value
3. Send it
4. Try to read the value back</t>
  </si>
  <si>
    <t>PII-AUTH-004</t>
  </si>
  <si>
    <r>
      <rPr>
        <b/>
        <color rgb="FF0F172A"/>
      </rPr>
      <t>Signature that is not valid Base64 text is rejected (401) and nothing is saved</t>
    </r>
    <r>
      <rPr>
        <color rgb="FF334155"/>
      </rPr>
      <t xml:space="preserve">
Sends a save request whose signature is garbage text that is not valid Base64 (the text encoding signatures must use).</t>
    </r>
  </si>
  <si>
    <t>Badly formed signatures must be rejected cleanly; if the service accepted or crashed on them, an attacker could bypass or break the check.</t>
  </si>
  <si>
    <t xml:space="preserve">1. Build a normal save request for a fake user
2. Set the signature header to "not base64 !!!"
3. Send it
4. Try to read the value back</t>
  </si>
  <si>
    <t>PII-AUTH-005</t>
  </si>
  <si>
    <r>
      <rPr>
        <b/>
        <color rgb="FF0F172A"/>
      </rPr>
      <t>Signature of the wrong length (32 bytes instead of 64) is rejected (401) and nothing is saved</t>
    </r>
    <r>
      <rPr>
        <color rgb="FF334155"/>
      </rPr>
      <t xml:space="preserve">
Sends a save request with a signature that is too short (32 bytes instead of the 64 bytes a real Ed25519 signature has).</t>
    </r>
  </si>
  <si>
    <t>If the service did not check the length, a truncated or fake signature might slip through and let an attacker in.</t>
  </si>
  <si>
    <t xml:space="preserve">1. Build a normal save request for a fake user
2. Replace the signature with a 32-byte value
3. Send it
4. Try to read the value back</t>
  </si>
  <si>
    <t>PII-AUTH-006</t>
  </si>
  <si>
    <r>
      <rPr>
        <b/>
        <color rgb="FF0F172A"/>
      </rPr>
      <t>Random signature of the right length is rejected (401) and nothing is saved</t>
    </r>
    <r>
      <rPr>
        <color rgb="FF334155"/>
      </rPr>
      <t xml:space="preserve">
Sends a save request with a made-up signature of the correct length (64 bytes) that was not produced by any key.</t>
    </r>
  </si>
  <si>
    <t>Proves the service really verifies the signature and does not just check that it looks right; otherwise anyone could forge one.</t>
  </si>
  <si>
    <t xml:space="preserve">1. Build a normal save request for a fake user
2. Replace the signature with 64 random bytes
3. Send it
4. Try to read the value back</t>
  </si>
  <si>
    <t>PII-AUTH-007</t>
  </si>
  <si>
    <r>
      <rPr>
        <b/>
        <color rgb="FF0F172A"/>
      </rPr>
      <t>Signature made with a key the service does not know is rejected (401) and nothing is saved</t>
    </r>
    <r>
      <rPr>
        <color rgb="FF334155"/>
      </rPr>
      <t xml:space="preserve">
Sends a save request signed with a private key the service has never seen, while using the real caller ID (the registered name of the app making the call).</t>
    </r>
  </si>
  <si>
    <t>If a signature from an unknown key were accepted, an attacker could impersonate a registered app just by knowing its name.</t>
  </si>
  <si>
    <t xml:space="preserve">1. Build a normal save request for a fake user
2. Sign it with a freshly generated, unregistered key
3. Send it with the normal caller ID
4. Try to read the value back</t>
  </si>
  <si>
    <t>PII-AUTH-008</t>
  </si>
  <si>
    <r>
      <rPr>
        <b/>
        <color rgb="FF0F172A"/>
      </rPr>
      <t>Body changed after signing (different user_id) is rejected (401) and nothing is saved</t>
    </r>
    <r>
      <rPr>
        <color rgb="FF334155"/>
      </rPr>
      <t xml:space="preserve">
Signs one version of the request body, then sends a different body (the user ID was changed) with that same signature.</t>
    </r>
  </si>
  <si>
    <t>If the service did not detect the change, an attacker who intercepted a request could alter whose data is written.</t>
  </si>
  <si>
    <t xml:space="preserve">1. Build a save request and sign a copy with a different user ID
2. Send the real body with that signature
3. Try to read the value back</t>
  </si>
  <si>
    <t>PII-AUTH-009</t>
  </si>
  <si>
    <r>
      <rPr>
        <b/>
        <color rgb="FF0F172A"/>
      </rPr>
      <t>Body re-formatted after signing (only spaces added) is rejected (401) and nothing is saved</t>
    </r>
    <r>
      <rPr>
        <color rgb="FF334155"/>
      </rPr>
      <t xml:space="preserve">
Signs the compact request body, then sends the same data re-formatted with extra spaces and line breaks.</t>
    </r>
  </si>
  <si>
    <t>The signature must cover the exact bytes sent; if re-formatted bodies were accepted, the check would not truly prove the body is unchanged.</t>
  </si>
  <si>
    <t xml:space="preserve">1. Build a save request and sign the compact body
2. Re-format the body with indentation (same data)
3. Send the re-formatted body with the original signature
4. Try to read the value back</t>
  </si>
  <si>
    <t>PII-AUTH-010</t>
  </si>
  <si>
    <r>
      <rPr>
        <b/>
        <color rgb="FF0F172A"/>
      </rPr>
      <t>Newline added to the body after signing is rejected (401) and nothing is saved</t>
    </r>
    <r>
      <rPr>
        <color rgb="FF334155"/>
      </rPr>
      <t xml:space="preserve">
Signs the request body, then adds a single newline character to the end of the body before sending.</t>
    </r>
  </si>
  <si>
    <t>Even a one-byte change must break the signature; otherwise the service is not checking the exact bytes and tampering could go unnoticed.</t>
  </si>
  <si>
    <t xml:space="preserve">1. Build a save request and sign the body
2. Append a newline to the body
3. Send it with the original signature
4. Try to read the value back</t>
  </si>
  <si>
    <t>PII-AUTH-011</t>
  </si>
  <si>
    <r>
      <rPr>
        <b/>
        <color rgb="FF0F172A"/>
      </rPr>
      <t>Body signed without hashing it first (wrong signing method) is rejected (401) and nothing is saved</t>
    </r>
    <r>
      <rPr>
        <color rgb="FF334155"/>
      </rPr>
      <t xml:space="preserve">
Signs the raw request body directly instead of first taking its SHA-256 hash (a fixed-size fingerprint of the body), which is the wrong signing method.</t>
    </r>
  </si>
  <si>
    <t>The service must accept only the documented signing method; accepting other methods weakens the check and hides client bugs.</t>
  </si>
  <si>
    <t xml:space="preserve">1. Build a normal save request for a fake user
2. Sign the raw body without hashing it first
3. Send it
4. Try to read the value back</t>
  </si>
  <si>
    <t>PII-AUTH-012</t>
  </si>
  <si>
    <r>
      <rPr>
        <b/>
        <color rgb="FF0F172A"/>
      </rPr>
      <t>Request with no caller ID header is rejected (401) and nothing is saved</t>
    </r>
    <r>
      <rPr>
        <color rgb="FF334155"/>
      </rPr>
      <t xml:space="preserve">
Sends a correctly signed save request with the caller ID header (the registered name of the app making the call) removed.</t>
    </r>
  </si>
  <si>
    <t>Without a caller ID the service cannot know whose key to check; if it let the request through, identity checks would be bypassed.</t>
  </si>
  <si>
    <t xml:space="preserve">1. Build a normal save request for a fake user
2. Remove the caller ID header
3. Send it
4. Try to read the value back</t>
  </si>
  <si>
    <t>PII-AUTH-013</t>
  </si>
  <si>
    <r>
      <rPr>
        <b/>
        <color rgb="FF0F172A"/>
      </rPr>
      <t>Request with an unknown caller ID is rejected (401) and nothing is saved</t>
    </r>
    <r>
      <rPr>
        <color rgb="FF334155"/>
      </rPr>
      <t xml:space="preserve">
Sends a save request with a caller ID that is not registered with the service.</t>
    </r>
  </si>
  <si>
    <t>If unknown callers were accepted, any app could invent a name and gain access to personal data.</t>
  </si>
  <si>
    <t xml:space="preserve">1. Build a normal save request for a fake user
2. Set the caller ID header to an unregistered name
3. Send it
4. Try to read the value back</t>
  </si>
  <si>
    <t>PII-AUTH-014</t>
  </si>
  <si>
    <r>
      <rPr>
        <b/>
        <color rgb="FF0F172A"/>
      </rPr>
      <t>Request with an empty caller ID is rejected (401) and nothing is saved</t>
    </r>
    <r>
      <rPr>
        <color rgb="FF334155"/>
      </rPr>
      <t xml:space="preserve">
Sends a save request whose caller ID header is present but empty.</t>
    </r>
  </si>
  <si>
    <t>An empty caller ID must not be treated as a valid or default identity; otherwise an attacker could skip identifying themselves.</t>
  </si>
  <si>
    <t xml:space="preserve">1. Build a normal save request for a fake user
2. Set the caller ID header to an empty value
3. Send it
4. Try to read the value back</t>
  </si>
  <si>
    <t>PII-AUTH-015</t>
  </si>
  <si>
    <r>
      <rPr>
        <b/>
        <color rgb="FF0F172A"/>
      </rPr>
      <t>Request with no request ID header is rejected (401) and nothing is saved</t>
    </r>
    <r>
      <rPr>
        <color rgb="FF334155"/>
      </rPr>
      <t xml:space="preserve">
Sends a save request with the request ID header (a unique ID for each call, used for tracing) removed.</t>
    </r>
  </si>
  <si>
    <t>The documentation makes the request ID mandatory; if it were optional, calls could not be traced and future replay protection would not work.</t>
  </si>
  <si>
    <t xml:space="preserve">1. Build a normal save request for a fake user
2. Remove the request ID header
3. Send it
4. Try to read the value back</t>
  </si>
  <si>
    <t>PII-AUTH-016</t>
  </si>
  <si>
    <r>
      <rPr>
        <b/>
        <color rgb="FF0F172A"/>
      </rPr>
      <t>Request with no security headers at all is rejected (401) and nothing is saved</t>
    </r>
    <r>
      <rPr>
        <color rgb="FF334155"/>
      </rPr>
      <t xml:space="preserve">
Sends a save request with none of the security headers at all (no caller ID, no signature, no request ID).</t>
    </r>
  </si>
  <si>
    <t>A completely anonymous request must never be able to write personal data.</t>
  </si>
  <si>
    <t xml:space="preserve">1. Build a normal save request for a fake user
2. Send it without any security headers
3. Try to read the value back</t>
  </si>
  <si>
    <t>PII-AUTH-017</t>
  </si>
  <si>
    <r>
      <rPr>
        <b/>
        <color rgb="FF0F172A"/>
      </rPr>
      <t>One caller’s key cannot be used to sign as a different caller (401)</t>
    </r>
    <r>
      <rPr>
        <color rgb="FF334155"/>
      </rPr>
      <t xml:space="preserve">
Signs a save request with a second registered app’s key while sending the first app’s caller ID.</t>
    </r>
  </si>
  <si>
    <t>If one app’s key worked for another app’s name, any registered app could impersonate any other and use its permissions.</t>
  </si>
  <si>
    <t xml:space="preserve">1. Build a normal save request for a fake user
2. Sign it with the secondary caller’s key
3. Send it with the primary caller ID
4. Try to read the value back</t>
  </si>
  <si>
    <t>Needs a second registered caller (secondary) — skipped until configured</t>
  </si>
  <si>
    <t>PII-AUTH-018</t>
  </si>
  <si>
    <r>
      <rPr>
        <b/>
        <color rgb="FF0F172A"/>
      </rPr>
      <t>Request without a Content-Type header is rejected (exact status is open question Q-13)</t>
    </r>
    <r>
      <rPr>
        <color rgb="FF334155"/>
      </rPr>
      <t xml:space="preserve">
Sends a correctly signed save request without the Content-Type header (the header saying the body is JSON).</t>
    </r>
  </si>
  <si>
    <t>The documentation lists Content-Type as required; requests without it must not be processed or save anything.</t>
  </si>
  <si>
    <t xml:space="preserve">1. Build a normal save request for a fake user
2. Remove the Content-Type header
3. Send it
4. Try to read the value back</t>
  </si>
  <si>
    <t>Rejected with 400, 401, 415 or 422 (exact status still to be confirmed, question Q-13); the read-back confirms nothing was saved.</t>
  </si>
  <si>
    <t>PII-AUTH-019</t>
  </si>
  <si>
    <r>
      <rPr>
        <b/>
        <color rgb="FF0F172A"/>
      </rPr>
      <t>A bad signature is caught before permissions are checked: 401 (not signed in), never 403</t>
    </r>
    <r>
      <rPr>
        <color rgb="FF334155"/>
      </rPr>
      <t xml:space="preserve">
Uses a restricted app that is not allowed to save emails: first sends an email save with a bad signature, then the same request correctly signed.</t>
    </r>
  </si>
  <si>
    <t>Identity must be checked before permissions; if a forged request got a 403 it would leak what the real app is allowed to do.</t>
  </si>
  <si>
    <t xml:space="preserve">1. Build an email save request as the restricted caller
2. Sign it with an unregistered key and send it
3. Send the same request correctly signed
4. Compare the two responses</t>
  </si>
  <si>
    <t>Bad signature: 401 Unauthorized with an authentication error code; correct signature: 403 Forbidden with the authorization-denied error code.</t>
  </si>
  <si>
    <t>Needs a restricted caller (limited) — skipped until configured</t>
  </si>
  <si>
    <t>PII-AUTH-021</t>
  </si>
  <si>
    <r>
      <rPr>
        <b/>
        <color rgb="FF0F172A"/>
      </rPr>
      <t>Sending the same request ID twice (expected behaviour not documented yet)</t>
    </r>
    <r>
      <rPr>
        <color rgb="FF334155"/>
      </rPr>
      <t xml:space="preserve">
Will send two requests with the same request ID (the unique ID that should be new for every call) and check how the service reacts.</t>
    </r>
  </si>
  <si>
    <t>If reused IDs are silently accepted, request tracing is unreliable and captured requests could be resent.</t>
  </si>
  <si>
    <t xml:space="preserve">1. Send a correctly signed request
2. Send another request reusing the same request ID
3. Check whether the second one is accepted or rejected</t>
  </si>
  <si>
    <t>Not yet defined: the second request is either accepted or rejected with 401, depending on Dev’s answer.</t>
  </si>
  <si>
    <t>Waiting on Dev question Q-14 (what the service does when a request ID is reused) — shows as Not Tested until answered</t>
  </si>
  <si>
    <t>PII-AUTH-022</t>
  </si>
  <si>
    <r>
      <rPr>
        <b/>
        <color rgb="FF0F172A"/>
      </rPr>
      <t>Re-sending a captured signed request (replay) (expected behaviour not documented yet)</t>
    </r>
    <r>
      <rPr>
        <color rgb="FF334155"/>
      </rPr>
      <t xml:space="preserve">
Will capture a correctly signed request and send the exact same request again (a replay).</t>
    </r>
  </si>
  <si>
    <t>The signature covers only the body (no timestamp or one-time value), so an attacker who captures a request could resend it to repeat the action.</t>
  </si>
  <si>
    <t xml:space="preserve">1. Send a correctly signed request
2. Send the identical signed request a second time
3. Check the status of the second request</t>
  </si>
  <si>
    <t>Not yet defined: the agreed status for the replayed request, once Dev answers Q-21 (the tech doc says replays are rejected with 401 only after its Phase 2 replay protection is switched on).</t>
  </si>
  <si>
    <t>Waiting on Dev question Q-21 (whether replayed requests are blocked) — shows as Not Tested until answered</t>
  </si>
  <si>
    <t>PII-AZ-001</t>
  </si>
  <si>
    <r>
      <rPr>
        <b/>
        <color rgb="FF0F172A"/>
      </rPr>
      <t>Caller not allowed to save emails cannot save one (403) and nothing is saved</t>
    </r>
    <r>
      <rPr>
        <color rgb="FF334155"/>
      </rPr>
      <t xml:space="preserve">
Tries to save an email using the limited caller (an app that is not allowed to save emails), then checks nothing was stored.</t>
    </r>
  </si>
  <si>
    <t>If an app without permission could save emails, it could overwrite or plant personal data it should never touch.</t>
  </si>
  <si>
    <t xml:space="preserve">1. As the limited caller, save a fake email for a new fake user
2. Check the reply
3. As the full-permission caller, confirm no email was stored for that user</t>
  </si>
  <si>
    <t>403 Forbidden with the authorization-denied error code; no email exists for the user afterwards.</t>
  </si>
  <si>
    <t>PII-DB-001</t>
  </si>
  <si>
    <r>
      <rPr>
        <b/>
        <color rgb="FF0F172A"/>
      </rPr>
      <t>Saving a field again keeps one database row and changes its encrypted value</t>
    </r>
    <r>
      <rPr>
        <color rgb="FF334155"/>
      </rPr>
      <t xml:space="preserve">
Saves a fake test email for a user, then saves a different one for the same user, and checks the database still has one row whose encrypted value has changed.</t>
    </r>
  </si>
  <si>
    <t>If a second save added a new row instead of replacing the old one, the service could return stale or duplicate personal data.</t>
  </si>
  <si>
    <t xml:space="preserve">1. Save a first fake test email for a fake test user and check the database has one row
2. Save a second fake test email for the same user and field
3. Check the database row again</t>
  </si>
  <si>
    <t>Second save returns 200; still exactly one row; its encrypted value differs from before, does not contain the new email in readable form, and (if exposed) its key version matches the save reply.</t>
  </si>
  <si>
    <t>Database</t>
  </si>
  <si>
    <t>Needs read-only database access.</t>
  </si>
  <si>
    <t>PII-DB-002</t>
  </si>
  <si>
    <r>
      <rPr>
        <b/>
        <color rgb="FF0F172A"/>
      </rPr>
      <t>Phone and name are stored encrypted: neither the typed nor the cleaned-up text is in the database</t>
    </r>
    <r>
      <rPr>
        <color rgb="FF334155"/>
      </rPr>
      <t xml:space="preserve">
Saves a fake phone number and a fake name for a test user and checks neither appears in readable form in the database.</t>
    </r>
  </si>
  <si>
    <t>Personal data must be encrypted at rest (when stored); if it were readable, anyone with database access could see it.</t>
  </si>
  <si>
    <t xml:space="preserve">1. Save a fake test phone number (as typed) and a fake test name for a fake test user
2. Read the stored PHONE and NAME rows directly from the database
3. Look for the cleaned-up phone number and the name in the stored values</t>
  </si>
  <si>
    <t>Neither the cleaned-up phone number nor the name is found in readable form in the stored values.</t>
  </si>
  <si>
    <t>Needs read-only database access and approved test phone numbers.</t>
  </si>
  <si>
    <t>PII-DB-003</t>
  </si>
  <si>
    <r>
      <rPr>
        <b/>
        <color rgb="FF0F172A"/>
      </rPr>
      <t>The same user ID in two tenants gives two separate rows, each tied to its own tenant</t>
    </r>
    <r>
      <rPr>
        <color rgb="FF334155"/>
      </rPr>
      <t xml:space="preserve">
Saves an email for the same user ID under two different tenants (separate customer organisations) and checks the database keeps two separate rows, each tied to its own tenant.</t>
    </r>
  </si>
  <si>
    <t>If rows from different tenants were merged or mixed up, one customer could see or overwrite another customer’s data.</t>
  </si>
  <si>
    <t xml:space="preserve">1. Save a fake test email for a user ID in the main test tenant
2. Save a different fake test email for the same user ID in a second test tenant
3. Look up the rows for each tenant in the database</t>
  </si>
  <si>
    <t>Each tenant has exactly one row for that user, and it carries that tenant’s ID only.</t>
  </si>
  <si>
    <t>Needs read-only database access and a second test tenant.</t>
  </si>
  <si>
    <t>PII-DB-004</t>
  </si>
  <si>
    <r>
      <rPr>
        <b/>
        <color rgb="FF0F172A"/>
      </rPr>
      <t>A save rejected for a bad signature (401) leaves nothing in the database</t>
    </r>
    <r>
      <rPr>
        <color rgb="FF334155"/>
      </rPr>
      <t xml:space="preserve">
Sends two save requests that must be refused — one signed by an unregistered caller, one whose content was changed after signing (a signature is a cryptographic stamp proving who sent the request) — and checks nothing was stored.</t>
    </r>
  </si>
  <si>
    <t>If a refused request still wrote data, an attacker could plant or change personal data without being authorised.</t>
  </si>
  <si>
    <t xml:space="preserve">1. Send a save request for a fake test email signed by an unregistered caller
2. Send a save request whose content was altered after it was signed
3. Look in the database for either user ID</t>
  </si>
  <si>
    <t>Both requests return 401 with an authentication error code; the database has no row for either the original or the altered user ID.</t>
  </si>
  <si>
    <t>PII-NRM-001</t>
  </si>
  <si>
    <r>
      <rPr>
        <b/>
        <color rgb="FF0F172A"/>
      </rPr>
      <t>Emails are saved without surrounding spaces and in lower case</t>
    </r>
    <r>
      <rPr>
        <color rgb="FF334155"/>
      </rPr>
      <t xml:space="preserve">
Saves an email with extra spaces around it and mixed upper/lower case letters, then reads it back.</t>
    </r>
  </si>
  <si>
    <t>The same email typed differently must be stored the same way; otherwise searches and matching would miss users.</t>
  </si>
  <si>
    <t xml:space="preserve">1. Create a fake email and add spaces around it and upper-case letters
2. Save it as the EMAIL field
3. Read the EMAIL back</t>
  </si>
  <si>
    <t>201 Created on save; 200 OK on read with exactly one item whose value is the email trimmed and in lower case.</t>
  </si>
  <si>
    <t>PII-NRM-002</t>
  </si>
  <si>
    <r>
      <rPr>
        <b/>
        <color rgb="FF0F172A"/>
      </rPr>
      <t>Phones are saved as digits only (spaces, dashes, brackets and + removed)</t>
    </r>
    <r>
      <rPr>
        <color rgb="FF334155"/>
      </rPr>
      <t xml:space="preserve">
Saves a phone number written with "+", brackets, spaces and a dash, then reads it back.</t>
    </r>
  </si>
  <si>
    <t>Phones arrive in many formats; storing digits only means every app gets one consistent format it can dial or match.</t>
  </si>
  <si>
    <t xml:space="preserve">1. Take an approved test phone number
2. Format it like "+91 (987) 654-3210"
3. Save it as the PHONE field
4. Read the PHONE back</t>
  </si>
  <si>
    <t>201 Created on save; 200 OK on read with exactly one item whose value is digits only.</t>
  </si>
  <si>
    <t>Needs approved test phone numbers</t>
  </si>
  <si>
    <t>PII-NRM-003</t>
  </si>
  <si>
    <r>
      <rPr>
        <b/>
        <color rgb="FF0F172A"/>
      </rPr>
      <t>Names are trimmed and repeated spaces collapsed; upper/lower case is kept</t>
    </r>
    <r>
      <rPr>
        <color rgb="FF334155"/>
      </rPr>
      <t xml:space="preserve">
Saves a name with extra spaces at the start, end and between words, then reads it back.</t>
    </r>
  </si>
  <si>
    <t>Stray spaces make the same name look different; they should be tidied, but the person's capital letters must be kept.</t>
  </si>
  <si>
    <t xml:space="preserve">1. Create a fake mixed-case name and add extra spaces around and between the words
2. Save it as the NAME field
3. Read the NAME back</t>
  </si>
  <si>
    <t>201 Created on save; 200 OK on read with exactly one item whose value has single spaces between words, no spaces at the ends, and the original upper/lower case.</t>
  </si>
  <si>
    <t>PII-NRM-004</t>
  </si>
  <si>
    <r>
      <rPr>
        <b/>
        <color rgb="FF0F172A"/>
      </rPr>
      <t>Phones with exactly 8 and exactly 15 digits (the allowed limits) are accepted</t>
    </r>
    <r>
      <rPr>
        <color rgb="FF334155"/>
      </rPr>
      <t xml:space="preserve">
Saves formatted phone numbers with exactly 8 and exactly 15 digits (the smallest and largest allowed) and reads each back.</t>
    </r>
  </si>
  <si>
    <t>Numbers right at the allowed limits are valid; rejecting them would block real customers with short or long numbers.</t>
  </si>
  <si>
    <t xml:space="preserve">1. Take the approved 8-digit test number and format it with "+", brackets, spaces and a dash
2. Save it as PHONE and read it back
3. Repeat with the approved 15-digit number</t>
  </si>
  <si>
    <t>201 Created on each save; 200 OK on each read with exactly one item whose value is the original digits only.</t>
  </si>
  <si>
    <t>Low</t>
  </si>
  <si>
    <t>Optional: needs approved 8-digit and 15-digit test numbers — skipped because the team tests with 10-digit numbers only</t>
  </si>
  <si>
    <t>PII-NRM-005</t>
  </si>
  <si>
    <r>
      <rPr>
        <b/>
        <color rgb="FF0F172A"/>
      </rPr>
      <t>Values that are already clean are saved unchanged</t>
    </r>
    <r>
      <rPr>
        <color rgb="FF334155"/>
      </rPr>
      <t xml:space="preserve">
Saves an email that is already trimmed and lower case, then reads it back.</t>
    </r>
  </si>
  <si>
    <t>Clean-up must not change values that are already correct; otherwise good data would be damaged.</t>
  </si>
  <si>
    <t xml:space="preserve">1. Create a fake, already-clean email
2. Save it as the EMAIL field
3. Read the EMAIL back</t>
  </si>
  <si>
    <t>201 Created on save; 200 OK on read with exactly one item whose value is exactly the email that was sent.</t>
  </si>
  <si>
    <t>PII-SEC-001</t>
  </si>
  <si>
    <r>
      <rPr>
        <b/>
        <color rgb="FF0F172A"/>
      </rPr>
      <t>Error messages never repeat the personal value that was sent</t>
    </r>
    <r>
      <rPr>
        <color rgb="FF334155"/>
      </rPr>
      <t xml:space="preserve">
Sends an invalid email value and checks the error reply does not repeat that value back.</t>
    </r>
  </si>
  <si>
    <t>Error replies often end up in logs and screens; if they echoed personal data, it would leak outside the secure store.</t>
  </si>
  <si>
    <t xml:space="preserve">1. Save an EMAIL field with a value that is not a valid email
2. Check the reply status and error code
3. Search the reply text for the value that was sent</t>
  </si>
  <si>
    <t>400 Bad Request with the validation error code; the sent value does not appear anywhere in the reply.</t>
  </si>
  <si>
    <t>PII-SEC-002</t>
  </si>
  <si>
    <r>
      <rPr>
        <b/>
        <color rgb="FF0F172A"/>
      </rPr>
      <t>A request body over the size limit is rejected (413 BODY_TOO_LARGE)</t>
    </r>
    <r>
      <rPr>
        <color rgb="FF334155"/>
      </rPr>
      <t xml:space="preserve">
Sends a save request whose body is exactly one byte over the configured size limit.</t>
    </r>
  </si>
  <si>
    <t>Without a size limit, anyone could overload the service by sending huge requests.</t>
  </si>
  <si>
    <t xml:space="preserve">1. Build a save-name request that is one byte bigger than the maximum body size
2. Send it once, with no automatic retry
3. Check the reply</t>
  </si>
  <si>
    <t>413 Payload Too Large with the BODY_TOO_LARGE error code.</t>
  </si>
  <si>
    <t>Waiting on Dev question Q-22 (the maximum request body size for this environment) — shows as Not Tested until answered</t>
  </si>
  <si>
    <t>PII-TI-001</t>
  </si>
  <si>
    <r>
      <rPr>
        <b/>
        <color rgb="FF0F172A"/>
      </rPr>
      <t>The same user ID in two tenants keeps two independent values</t>
    </r>
    <r>
      <rPr>
        <color rgb="FF334155"/>
      </rPr>
      <t xml:space="preserve">
Saves a different email for the same user ID in tenant A and tenant B, then reads each one back.</t>
    </r>
  </si>
  <si>
    <t>The same user ID in two companies is two different people; if values got mixed, one customer could see or overwrite another customer’s data.</t>
  </si>
  <si>
    <t xml:space="preserve">1. Save email A for a fake user ID in tenant A
2. Save email B for the same user ID in tenant B
3. Read the email in tenant A, then in tenant B</t>
  </si>
  <si>
    <t>Both reads return 200 OK; each reply is labelled with its own tenant and contains only its own email (A in tenant A, B in tenant B).</t>
  </si>
  <si>
    <t>Needs a second test tenant</t>
  </si>
  <si>
    <t>PII-TI-005</t>
  </si>
  <si>
    <r>
      <rPr>
        <b/>
        <color rgb="FF0F172A"/>
      </rPr>
      <t>Changing a value in tenant A does not change it in tenant B</t>
    </r>
    <r>
      <rPr>
        <color rgb="FF334155"/>
      </rPr>
      <t xml:space="preserve">
Saves emails for the same user ID in tenant A and tenant B, changes the tenant A email, then reads the tenant B email.</t>
    </r>
  </si>
  <si>
    <t>If an update in one company changed another company’s data, customers could corrupt each other’s records.</t>
  </si>
  <si>
    <t xml:space="preserve">1. Save an email for a fake user ID in tenant A
2. Save a different email for the same user ID in tenant B
3. Change the email in tenant A
4. Read the email in tenant B</t>
  </si>
  <si>
    <t>200 OK; tenant B still returns its original email, unchanged.</t>
  </si>
  <si>
    <t>PII-WR-001</t>
  </si>
  <si>
    <r>
      <rPr>
        <b/>
        <color rgb="FF0F172A"/>
      </rPr>
      <t>Saving a new field returns 201 with tenant, user, field name and encryption key version</t>
    </r>
    <r>
      <rPr>
        <color rgb="FF334155"/>
      </rPr>
      <t xml:space="preserve">
Saves a brand-new email address for a fake test user and checks the service confirms it was stored.</t>
    </r>
  </si>
  <si>
    <t>Saving personal data is the most basic job of the PII service; if this fails, no other feature can work.</t>
  </si>
  <si>
    <t xml:space="preserve">1. Create a fake test user and a fake email address
2. Send a signed save request for the EMAIL field
3. Check the reply</t>
  </si>
  <si>
    <t>201 Created; the reply confirms the same tenant, user and field EMAIL, and gives the encryption key version used (a whole number).</t>
  </si>
  <si>
    <t>PII-WR-002</t>
  </si>
  <si>
    <r>
      <rPr>
        <b/>
        <color rgb="FF0F172A"/>
      </rPr>
      <t>Saving a field that already exists replaces it (200), and reading returns the new value</t>
    </r>
    <r>
      <rPr>
        <color rgb="FF334155"/>
      </rPr>
      <t xml:space="preserve">
Saves a new email for a user who already has one, then reads it back to check the old value was replaced.</t>
    </r>
  </si>
  <si>
    <t>Users change their details; if a second save did not replace the first, other apps would keep getting the outdated email.</t>
  </si>
  <si>
    <t xml:space="preserve">1. Save an "old" email for a fake test user
2. Save a "new" email for the same user and field
3. Read the EMAIL field back</t>
  </si>
  <si>
    <t>200 OK on the second save (not 201, because the field already existed); reading returns exactly one item whose value is the new email.</t>
  </si>
  <si>
    <t>PII-WR-003</t>
  </si>
  <si>
    <r>
      <rPr>
        <b/>
        <color rgb="FF0F172A"/>
      </rPr>
      <t>Field names work in any case and come back in upper case (email → EMAIL)</t>
    </r>
    <r>
      <rPr>
        <color rgb="FF334155"/>
      </rPr>
      <t xml:space="preserve">
Saves an email using the field name written in mixed case ("eMail") and checks the service treats it as EMAIL.</t>
    </r>
  </si>
  <si>
    <t>Caller apps may not all spell field names the same way; the service must store them under one standard name so they can be found again.</t>
  </si>
  <si>
    <t xml:space="preserve">1. Send a save request with the field name "eMail"
2. Check the field name in the reply
3. Read the EMAIL field back and check its field name</t>
  </si>
  <si>
    <t>201 Created; the reply shows field EMAIL (upper case), and reading it back also shows field EMAIL.</t>
  </si>
  <si>
    <t>PII-WR-004</t>
  </si>
  <si>
    <r>
      <rPr>
        <b/>
        <color rgb="FF0F172A"/>
      </rPr>
      <t>Save request without "field" is rejected (422) and nothing is saved</t>
    </r>
    <r>
      <rPr>
        <color rgb="FF334155"/>
      </rPr>
      <t xml:space="preserve">
For each required part of a save request (tenant_id, user_id, field, value), sends a request with that part left out.</t>
    </r>
  </si>
  <si>
    <t>An incomplete request must never create a half-filled record; otherwise stored data would be broken or belong to no one.</t>
  </si>
  <si>
    <t xml:space="preserve">1. Build a valid save request for a NAME
2. Remove one required part (tenant_id, user_id, field or value)
3. Send the request
4. When field or value was removed, try to read the NAME back</t>
  </si>
  <si>
    <t>422 (the service's "request is incomplete or malformed" code) for every missing part; when field or value is missing, reading NAME returns 404 PII_NOT_FOUND, so nothing is saved.</t>
  </si>
  <si>
    <r>
      <rPr>
        <b/>
        <color rgb="FF0F172A"/>
      </rPr>
      <t>Save request without "tenant_id" is rejected (422) and nothing is saved</t>
    </r>
    <r>
      <rPr>
        <color rgb="FF334155"/>
      </rPr>
      <t xml:space="preserve">
For each required part of a save request (tenant_id, user_id, field, value), sends a request with that part left out.</t>
    </r>
  </si>
  <si>
    <r>
      <rPr>
        <b/>
        <color rgb="FF0F172A"/>
      </rPr>
      <t>Save request without "user_id" is rejected (422) and nothing is saved</t>
    </r>
    <r>
      <rPr>
        <color rgb="FF334155"/>
      </rPr>
      <t xml:space="preserve">
For each required part of a save request (tenant_id, user_id, field, value), sends a request with that part left out.</t>
    </r>
  </si>
  <si>
    <r>
      <rPr>
        <b/>
        <color rgb="FF0F172A"/>
      </rPr>
      <t>Save request without "value" is rejected (422) and nothing is saved</t>
    </r>
    <r>
      <rPr>
        <color rgb="FF334155"/>
      </rPr>
      <t xml:space="preserve">
For each required part of a save request (tenant_id, user_id, field, value), sends a request with that part left out.</t>
    </r>
  </si>
  <si>
    <t>PII-WR-005</t>
  </si>
  <si>
    <r>
      <rPr>
        <b/>
        <color rgb="FF0F172A"/>
      </rPr>
      <t>Save request with an empty "field" is rejected (422)</t>
    </r>
    <r>
      <rPr>
        <color rgb="FF334155"/>
      </rPr>
      <t xml:space="preserve">
For each of user_id, field and value, sends a save request where that part is an empty text ("").</t>
    </r>
  </si>
  <si>
    <t>An empty user, field name or value is meaningless; accepting it would store junk records that no one can use.</t>
  </si>
  <si>
    <t xml:space="preserve">1. Build a valid save request for a NAME
2. Replace one part (user_id, field or value) with empty text
3. Send the request</t>
  </si>
  <si>
    <t>422 (the service's "request is incomplete or malformed" code) for every empty part.</t>
  </si>
  <si>
    <r>
      <rPr>
        <b/>
        <color rgb="FF0F172A"/>
      </rPr>
      <t>Save request with an empty "user_id" is rejected (422)</t>
    </r>
    <r>
      <rPr>
        <color rgb="FF334155"/>
      </rPr>
      <t xml:space="preserve">
For each of user_id, field and value, sends a save request where that part is an empty text ("").</t>
    </r>
  </si>
  <si>
    <r>
      <rPr>
        <b/>
        <color rgb="FF0F172A"/>
      </rPr>
      <t>Save request with an empty "value" is rejected (422)</t>
    </r>
    <r>
      <rPr>
        <color rgb="FF334155"/>
      </rPr>
      <t xml:space="preserve">
For each of user_id, field and value, sends a save request where that part is an empty text ("").</t>
    </r>
  </si>
  <si>
    <t>PII-WR-005b</t>
  </si>
  <si>
    <r>
      <rPr>
        <b/>
        <color rgb="FF0F172A"/>
      </rPr>
      <t>Save request with an empty tenant_id is rejected (422)</t>
    </r>
    <r>
      <rPr>
        <color rgb="FF334155"/>
      </rPr>
      <t xml:space="preserve">
Sends a save request where the tenant_id (the customer/organisation the user belongs to) is an empty text.</t>
    </r>
  </si>
  <si>
    <t>Every record must belong to a tenant; data saved without one could leak between customers or be lost.</t>
  </si>
  <si>
    <t xml:space="preserve">1. Build a valid save request for a NAME
2. Set tenant_id to empty text
3. Send the request</t>
  </si>
  <si>
    <t>422 (the service's "request is incomplete or malformed" code).</t>
  </si>
  <si>
    <t>PII-WR-006</t>
  </si>
  <si>
    <r>
      <rPr>
        <b/>
        <color rgb="FF0F172A"/>
      </rPr>
      <t>Values longer than the documented maximum are rejected (422)</t>
    </r>
    <r>
      <rPr>
        <color rgb="FF334155"/>
      </rPr>
      <t xml:space="preserve">
Sends save requests where one part is one character longer than its documented maximum (tenant_id 65, user_id 129, field 65, value 1025 characters).</t>
    </r>
  </si>
  <si>
    <t>Size limits protect the service and its storage; if over-long values slipped through they could break other apps or the database.</t>
  </si>
  <si>
    <t xml:space="preserve">1. Build a valid save request for a NAME
2. Make tenant_id, then user_id, then field, then value one character too long (one at a time)
3. Send each request
4. Try to read the NAME back</t>
  </si>
  <si>
    <t>422 (the service's "request is incomplete or malformed" code) for each over-long part; reading NAME returns 404 PII_NOT_FOUND, so nothing is saved.</t>
  </si>
  <si>
    <t>PII-WR-007</t>
  </si>
  <si>
    <r>
      <rPr>
        <b/>
        <color rgb="FF0F172A"/>
      </rPr>
      <t>Values exactly at the documented maximum are accepted (user ID 128, name 1024 characters)</t>
    </r>
    <r>
      <rPr>
        <color rgb="FF334155"/>
      </rPr>
      <t xml:space="preserve">
Saves a NAME of exactly 1024 characters for a user ID of exactly 128 characters (the documented maximums) and reads it back.</t>
    </r>
  </si>
  <si>
    <t>Values right at the limit are allowed by the rules; rejecting or cutting them short would lose real customer data.</t>
  </si>
  <si>
    <t xml:space="preserve">1. Create a user ID of exactly 128 characters and a name of exactly 1024 characters
2. Send a save request for the NAME field
3. Read the NAME back</t>
  </si>
  <si>
    <t>201 Created; reading returns the full 1024-character name unchanged.</t>
  </si>
  <si>
    <t>PII-WR-008</t>
  </si>
  <si>
    <r>
      <rPr>
        <b/>
        <color rgb="FF0F172A"/>
      </rPr>
      <t>An email without "@" is rejected (400 VALIDATION_ERROR)</t>
    </r>
    <r>
      <rPr>
        <color rgb="FF334155"/>
      </rPr>
      <t xml:space="preserve">
Tries to save an EMAIL value that has no "@" sign.</t>
    </r>
  </si>
  <si>
    <t>If invalid emails were accepted, other apps would later receive unusable data.</t>
  </si>
  <si>
    <t xml:space="preserve">1. Send a save request for EMAIL with a value that has no "@"
2. Check the reply
3. Try to read the EMAIL back</t>
  </si>
  <si>
    <t>400 with error code VALIDATION_ERROR; reading EMAIL returns 404 PII_NOT_FOUND, so nothing is saved.</t>
  </si>
  <si>
    <t>PII-WR-009</t>
  </si>
  <si>
    <r>
      <rPr>
        <b/>
        <color rgb="FF0F172A"/>
      </rPr>
      <t>A phone that does not have 8–15 digits after clean-up is rejected (400 VALIDATION_ERROR)</t>
    </r>
    <r>
      <rPr>
        <color rgb="FF334155"/>
      </rPr>
      <t xml:space="preserve">
Tries to save PHONE values that do not have 8–15 digits after clean-up: 7 digits, 16 digits and no digits at all.</t>
    </r>
  </si>
  <si>
    <t>Phone numbers outside the allowed length cannot be real numbers; storing them would send unusable data to apps that call or text users.</t>
  </si>
  <si>
    <t xml:space="preserve">1. Send a save request for PHONE with a 7-digit value
2. Send one with a 16-digit value
3. Send one with no digits ("not-a-phone")
4. Try to read the PHONE back</t>
  </si>
  <si>
    <t>400 with error code VALIDATION_ERROR for each value; reading PHONE returns 404 PII_NOT_FOUND, so nothing is saved.</t>
  </si>
  <si>
    <t>PII-WR-010</t>
  </si>
  <si>
    <r>
      <rPr>
        <b/>
        <color rgb="FF0F172A"/>
      </rPr>
      <t>An unknown field name is rejected (exact status is open question Q-07)</t>
    </r>
    <r>
      <rPr>
        <color rgb="FF334155"/>
      </rPr>
      <t xml:space="preserve">
Tries to save a value under a field name the service does not support (taken from the test settings).</t>
    </r>
  </si>
  <si>
    <t>Only known kinds of personal data should be stored; accepting any field name would let apps store data nobody has approved.</t>
  </si>
  <si>
    <t xml:space="preserve">1. Pick the unsupported field name from the test settings
2. Send a save request with that field name
3. Check the reply</t>
  </si>
  <si>
    <t>Rejected with 400, 403, 404 or 422 and a proper error body; exact status still to be confirmed, question Q-07.</t>
  </si>
  <si>
    <t>PII-WR-011</t>
  </si>
  <si>
    <r>
      <rPr>
        <b/>
        <color rgb="FF0F172A"/>
      </rPr>
      <t>Wrong data types (e.g. a number instead of text) are rejected (422)</t>
    </r>
    <r>
      <rPr>
        <color rgb="FF334155"/>
      </rPr>
      <t xml:space="preserve">
Sends save requests where one part has the wrong data type: value as a number, tenant_id as null (empty), user_id as a list, field as an object.</t>
    </r>
  </si>
  <si>
    <t>The service must only accept text in these parts; wrong types could crash it or store garbage.</t>
  </si>
  <si>
    <t xml:space="preserve">1. Build a valid save request for a NAME
2. Replace one part at a time with a wrong type (number, null, list, object)
3. Send each request</t>
  </si>
  <si>
    <t>422 (the service's "request is incomplete or malformed" code) for each wrong type.</t>
  </si>
  <si>
    <t>PII-WR-012</t>
  </si>
  <si>
    <r>
      <rPr>
        <b/>
        <color rgb="FF0F172A"/>
      </rPr>
      <t>Broken JSON is rejected (422), even when correctly signed</t>
    </r>
    <r>
      <rPr>
        <color rgb="FF334155"/>
      </rPr>
      <t xml:space="preserve">
Sends a correctly signed save request whose body is broken, cut-off JSON (the text format requests are written in).</t>
    </r>
  </si>
  <si>
    <t>A valid signature must not make the service trust a damaged request; it must refuse it cleanly instead of crashing or saving half the data.</t>
  </si>
  <si>
    <t xml:space="preserve">1. Prepare a request body that is cut off mid-way
2. Sign and send it as a save request
3. Check the reply</t>
  </si>
  <si>
    <t>PII-WR-013</t>
  </si>
  <si>
    <r>
      <rPr>
        <b/>
        <color rgb="FF0F172A"/>
      </rPr>
      <t>A value made only of spaces is rejected (exact status is open question Q-10)</t>
    </r>
    <r>
      <rPr>
        <color rgb="FF334155"/>
      </rPr>
      <t xml:space="preserve">
Tries to save a NAME made only of spaces, which becomes empty after clean-up.</t>
    </r>
  </si>
  <si>
    <t>A blank name is not real data; storing it would give other apps an empty value that looks like a real one.</t>
  </si>
  <si>
    <t xml:space="preserve">1. Send a save request for NAME with a value of five spaces
2. Check the reply
3. Try to read the NAME back</t>
  </si>
  <si>
    <t>Rejected with 400 or 422; exact status still to be confirmed, question Q-10. Reading NAME returns 404 PII_NOT_FOUND, so nothing is saved.</t>
  </si>
  <si>
    <t>POC-001</t>
  </si>
  <si>
    <r>
      <rPr>
        <b/>
        <color rgb="FF0F172A"/>
      </rPr>
      <t>End to end: an email is cleaned up, stored encrypted for the right tenant and user, and read back</t>
    </r>
    <r>
      <rPr>
        <color rgb="FF334155"/>
      </rPr>
      <t xml:space="preserve">
Saves a messy fake test email (mixed case, extra spaces) for a brand-new fake user, checks the database holds it encrypted under the right tenant and user, reads it back cleaned up, and checks our logs contain no personal data.</t>
    </r>
  </si>
  <si>
    <t>This is the end-to-end proof that the core promise works: data goes in, is stored encrypted for the right owner, comes back correctly, and never leaks into logs or reports.</t>
  </si>
  <si>
    <t xml:space="preserve">1. Create a fake test user and confirm reading their email gives 404 PII_NOT_FOUND (the user is new)
2. Save a messy version of a fake test email as the EMAIL field
3. Look up the stored row in the database and check tenant, user, field and that the email is not readable there
4. Read the email back through the service
5. Search the test logs and report notes for the email</t>
  </si>
  <si>
    <t>Save: 201 "PII write successful" with the same tenant, user and EMAIL; database: exactly one row for that tenant/user/field, neither the cleaned nor the typed email stored in readable form, and its key version matches the save reply (if the database exposes it); read: 200 "PII read successful" with one item whose value is the cleaned-up (lower-case, trimmed) email; logs and report notes contain no copy of the email.</t>
  </si>
  <si>
    <t>Needs read-only database access. If the database does not expose a key version column, that single check is skipped and noted against Dev question Q-16.</t>
  </si>
  <si>
    <t>3.  Read PII     POST /api/v1/pii/read        15 test cases  ·  ✔ 0  ·  ✘ 0  ·  — 15</t>
  </si>
  <si>
    <t>What this endpoint does: Read selected PII fields for one user.</t>
  </si>
  <si>
    <t>PII-AZ-002</t>
  </si>
  <si>
    <r>
      <rPr>
        <b/>
        <color rgb="FF0F172A"/>
      </rPr>
      <t>Caller not allowed to read emails cannot read one (403)</t>
    </r>
    <r>
      <rPr>
        <color rgb="FF334155"/>
      </rPr>
      <t xml:space="preserve">
Saves a fake email, then tries to read it using the limited caller, which is not allowed to read emails.</t>
    </r>
  </si>
  <si>
    <t>If this worked, any registered app could read users’ email addresses regardless of what it was granted.</t>
  </si>
  <si>
    <t xml:space="preserve">1. As the full-permission caller, save a fake email for a fake user
2. As the limited caller, read that user’s email
3. Check the reply</t>
  </si>
  <si>
    <t>403 Forbidden with the authorization-denied error code.</t>
  </si>
  <si>
    <t>PII-AZ-003</t>
  </si>
  <si>
    <r>
      <rPr>
        <b/>
        <color rgb="FF0F172A"/>
      </rPr>
      <t>Reading NAME (allowed) and EMAIL (not allowed) together is refused as a whole (403)</t>
    </r>
    <r>
      <rPr>
        <color rgb="FF334155"/>
      </rPr>
      <t xml:space="preserve">
Asks for a user’s name (allowed) and email (not allowed) in one request with the limited caller, and checks the whole request is refused.</t>
    </r>
  </si>
  <si>
    <t>If the service returned the allowed part, or all of it, an app could sneak a forbidden field into a request for an allowed one.</t>
  </si>
  <si>
    <t xml:space="preserve">1. As the full-permission caller, save a fake name and email for a fake user
2. As the limited caller, read NAME and EMAIL together for that user
3. Check the reply</t>
  </si>
  <si>
    <t>403 Forbidden with the authorization-denied error code (the whole request is refused, not partly answered).</t>
  </si>
  <si>
    <t>PII-AZ-004</t>
  </si>
  <si>
    <r>
      <rPr>
        <b/>
        <color rgb="FF0F172A"/>
      </rPr>
      <t>Control check: the limited caller CAN read names, which it is allowed to do</t>
    </r>
    <r>
      <rPr>
        <color rgb="FF334155"/>
      </rPr>
      <t xml:space="preserve">
Control check: saves a fake name, then reads it with the limited caller, which is allowed to read names.</t>
    </r>
  </si>
  <si>
    <t>Proves the limited caller is set up correctly, so the 403s in the other tests are caused by missing permissions and not by a broken caller setup.</t>
  </si>
  <si>
    <t xml:space="preserve">1. As the full-permission caller, save a fake name for a fake user
2. As the limited caller, read that user’s name
3. Check the reply</t>
  </si>
  <si>
    <t>200 OK; the reply has the expected shape and contains exactly one item.</t>
  </si>
  <si>
    <t>PII-AZ-012</t>
  </si>
  <si>
    <r>
      <rPr>
        <b/>
        <color rgb="FF0F172A"/>
      </rPr>
      <t>A 403 (not allowed) response is never retried automatically</t>
    </r>
    <r>
      <rPr>
        <color rgb="FF334155"/>
      </rPr>
      <t xml:space="preserve">
Makes one email read with the limited caller and checks the test framework’s API call log to confirm the request was sent only once.</t>
    </r>
  </si>
  <si>
    <t>A "not allowed" answer will not change on retry; retrying it wastes time and floods the service with denied requests.</t>
  </si>
  <si>
    <t xml:space="preserve">1. As the limited caller, read the email of a fake user
2. Open the framework’s API call log
3. Count retry lines and read-request lines</t>
  </si>
  <si>
    <t>No retry lines in the log and exactly one read request logged.</t>
  </si>
  <si>
    <t>PII-RD-001</t>
  </si>
  <si>
    <r>
      <rPr>
        <b/>
        <color rgb="FF0F172A"/>
      </rPr>
      <t>Reading one field of a user returns its value</t>
    </r>
    <r>
      <rPr>
        <color rgb="FF334155"/>
      </rPr>
      <t xml:space="preserve">
Saves a fake email for a fake user, then reads it back through the read endpoint.</t>
    </r>
  </si>
  <si>
    <t>Other apps rely on getting back exactly what they stored; a wrong or missing value would break sign-in, messaging and more.</t>
  </si>
  <si>
    <t xml:space="preserve">1. Save a fake email for a fake user
2. Send a signed read request for the EMAIL field
3. Compare the returned value with what was saved</t>
  </si>
  <si>
    <t>200 OK with message "PII read successful"; count is 1, the one item has the same tenant, user and EMAIL field, and its value equals the saved email.</t>
  </si>
  <si>
    <t>PII-RD-002</t>
  </si>
  <si>
    <r>
      <rPr>
        <b/>
        <color rgb="FF0F172A"/>
      </rPr>
      <t>Reading several fields in one call returns all of them</t>
    </r>
    <r>
      <rPr>
        <color rgb="FF334155"/>
      </rPr>
      <t xml:space="preserve">
Saves an email, phone and name for one user, then reads all three fields in a single request.</t>
    </r>
  </si>
  <si>
    <t>Apps often need several details at once; every requested value must come back correctly in one call.</t>
  </si>
  <si>
    <t xml:space="preserve">1. Save a fake email, phone and name for a fake user
2. Send one read request for EMAIL, PHONE and NAME
3. Check each returned value against what was saved</t>
  </si>
  <si>
    <t>200 OK; count is 3, the fields returned are exactly EMAIL, NAME and PHONE, and each value equals the saved one.</t>
  </si>
  <si>
    <t>PII-RD-003</t>
  </si>
  <si>
    <r>
      <rPr>
        <b/>
        <color rgb="FF0F172A"/>
      </rPr>
      <t>Only the fields asked for are returned</t>
    </r>
    <r>
      <rPr>
        <color rgb="FF334155"/>
      </rPr>
      <t xml:space="preserve">
Saves an email and a name for a user, then asks only for the name.</t>
    </r>
  </si>
  <si>
    <t>Returning more personal data than asked for leaks information the caller did not need or may not be allowed to see.</t>
  </si>
  <si>
    <t xml:space="preserve">1. Save a fake email and name for a fake user
2. Send a read request for the NAME field only
3. Check which fields come back</t>
  </si>
  <si>
    <t>200 OK; only the NAME field is returned and count is 1 (no EMAIL).</t>
  </si>
  <si>
    <t>PII-RD-004</t>
  </si>
  <si>
    <r>
      <rPr>
        <b/>
        <color rgb="FF0F172A"/>
      </rPr>
      <t>Fields the user does not have are left out when at least one requested field exists</t>
    </r>
    <r>
      <rPr>
        <color rgb="FF334155"/>
      </rPr>
      <t xml:space="preserve">
Saves only an email for a user, then asks for email, phone and name together.</t>
    </r>
  </si>
  <si>
    <t>A user missing some details is normal; the service should return what it has instead of failing the whole request.</t>
  </si>
  <si>
    <t xml:space="preserve">1. Save only a fake email for a fake user
2. Send a read request for EMAIL, PHONE and NAME
3. Check which fields come back</t>
  </si>
  <si>
    <t>200 OK; only EMAIL is returned and count is 1; the missing PHONE and NAME are simply left out.</t>
  </si>
  <si>
    <t>PII-RD-005</t>
  </si>
  <si>
    <r>
      <rPr>
        <b/>
        <color rgb="FF0F172A"/>
      </rPr>
      <t>Returns 404 PII_NOT_FOUND when the user has none of the requested fields</t>
    </r>
    <r>
      <rPr>
        <color rgb="FF334155"/>
      </rPr>
      <t xml:space="preserve">
Saves only an email for a user, then asks for phone and name, which the user does not have.</t>
    </r>
  </si>
  <si>
    <t>Callers need a clear "nothing found" answer rather than an empty success or a crash, so they can handle the missing data properly.</t>
  </si>
  <si>
    <t xml:space="preserve">1. Save only a fake email for a fake user
2. Send a read request for PHONE and NAME only
3. Check the error returned</t>
  </si>
  <si>
    <t>404 Not Found with error code PII_NOT_FOUND.</t>
  </si>
  <si>
    <t>PII-RD-006</t>
  </si>
  <si>
    <r>
      <rPr>
        <b/>
        <color rgb="FF0F172A"/>
      </rPr>
      <t>Returns 404 PII_NOT_FOUND for a user that does not exist</t>
    </r>
    <r>
      <rPr>
        <color rgb="FF334155"/>
      </rPr>
      <t xml:space="preserve">
Reads the email of a user ID that was never saved.</t>
    </r>
  </si>
  <si>
    <t>Asking about an unknown user must give a clear "not found", not someone else’s data or a server error.</t>
  </si>
  <si>
    <t xml:space="preserve">1. Pick a fake user ID that has never been saved
2. Send a read request for its EMAIL field
3. Check the error returned</t>
  </si>
  <si>
    <t>PII-RD-007</t>
  </si>
  <si>
    <r>
      <rPr>
        <b/>
        <color rgb="FF0F172A"/>
      </rPr>
      <t>An empty list of fields to read is rejected (422)</t>
    </r>
    <r>
      <rPr>
        <color rgb="FF334155"/>
      </rPr>
      <t xml:space="preserve">
Sends a read request with an empty list of fields to read.</t>
    </r>
  </si>
  <si>
    <t>A request that asks for nothing is a caller mistake and should be rejected clearly rather than silently accepted.</t>
  </si>
  <si>
    <t xml:space="preserve">1. Build a read request for a fake user with no field names
2. Send it
3. Check the error returned</t>
  </si>
  <si>
    <t>422 Unprocessable Entity (request validation error) with a recognised error body.</t>
  </si>
  <si>
    <t>PII-RD-008</t>
  </si>
  <si>
    <r>
      <rPr>
        <b/>
        <color rgb="FF0F172A"/>
      </rPr>
      <t>A read request missing required fields is rejected (422)</t>
    </r>
    <r>
      <rPr>
        <color rgb="FF334155"/>
      </rPr>
      <t xml:space="preserve">
Sends three read requests, each missing one required part: the tenant ID, the user ID, or the list of fields.</t>
    </r>
  </si>
  <si>
    <t>Incomplete requests must be rejected up front so the service never guesses which tenant or user was meant.</t>
  </si>
  <si>
    <t xml:space="preserve">1. Build a complete read request
2. Send it without the tenant ID
3. Send it without the user ID
4. Send it without the field names</t>
  </si>
  <si>
    <t>422 Unprocessable Entity (request validation error) with a recognised error body for each of the three requests.</t>
  </si>
  <si>
    <t>PII-RD-009</t>
  </si>
  <si>
    <r>
      <rPr>
        <b/>
        <color rgb="FF0F172A"/>
      </rPr>
      <t>The returned count matches the items, and every item belongs to the requested tenant and user</t>
    </r>
    <r>
      <rPr>
        <color rgb="FF334155"/>
      </rPr>
      <t xml:space="preserve">
Saves an email and a name for a user, reads both, and checks the response is self-consistent.</t>
    </r>
  </si>
  <si>
    <t>If the count disagrees with the items, or an item carries another tenant or user, callers could mix up people’s data.</t>
  </si>
  <si>
    <t xml:space="preserve">1. Save a fake email and name for a fake user
2. Send a read request for EMAIL and NAME
3. Compare the count with the number of items
4. Check the tenant and user on every item</t>
  </si>
  <si>
    <t>200 OK; count equals the number of items, and every item has the requested tenant and user ID.</t>
  </si>
  <si>
    <t>PII-TI-002</t>
  </si>
  <si>
    <r>
      <rPr>
        <b/>
        <color rgb="FF0F172A"/>
      </rPr>
      <t>Data saved in tenant A cannot be read through tenant B (404)</t>
    </r>
    <r>
      <rPr>
        <color rgb="FF334155"/>
      </rPr>
      <t xml:space="preserve">
Saves an email under customer A (tenant A), then tries to read it while asking as customer B.</t>
    </r>
  </si>
  <si>
    <t>Customers must be completely separated; if this returned the email, one company could read another company’s users’ personal data.</t>
  </si>
  <si>
    <t xml:space="preserve">1. Save a fake email for a fake user in tenant A
2. Read the same user’s email but with tenant B in the request
3. Check the reply</t>
  </si>
  <si>
    <t>404 Not Found with the not-found error code; no value from tenant A is returned.</t>
  </si>
  <si>
    <t>PII-TI-006</t>
  </si>
  <si>
    <r>
      <rPr>
        <b/>
        <color rgb="FF0F172A"/>
      </rPr>
      <t>A different caller with read permission can read data in the same tenant (as documented)</t>
    </r>
    <r>
      <rPr>
        <color rgb="FF334155"/>
      </rPr>
      <t xml:space="preserve">
Saves an email with the main caller, then reads it with a second, different app (the secondary caller) that also has read permission in the same tenant.</t>
    </r>
  </si>
  <si>
    <t>The documented design lets any permitted app in a tenant read that tenant’s data; this confirms apps are not wrongly locked to only their own data.</t>
  </si>
  <si>
    <t xml:space="preserve">1. As the main caller, save a fake email for a fake user
2. As the secondary caller, read that user’s email in the same tenant
3. Check the value</t>
  </si>
  <si>
    <t>200 OK; the returned email matches the one that was saved.</t>
  </si>
  <si>
    <t>4.  Search PII     POST /api/v1/pii/{field}/search        16 test cases  ·  ✔ 0  ·  ✘ 0  ·  — 16</t>
  </si>
  <si>
    <t>What this endpoint does: Exact normalized search on a searchable field.</t>
  </si>
  <si>
    <t>PII-AZ-005</t>
  </si>
  <si>
    <r>
      <rPr>
        <b/>
        <color rgb="FF0F172A"/>
      </rPr>
      <t>Control check: the limited caller CAN search emails when it does not ask for the values</t>
    </r>
    <r>
      <rPr>
        <color rgb="FF334155"/>
      </rPr>
      <t xml:space="preserve">
Control check: saves a fake email, then searches for it with the limited caller without asking for the values back (IDs only).</t>
    </r>
  </si>
  <si>
    <t>Proves the limited caller’s search permission works, so failures in other tests are really about missing permissions.</t>
  </si>
  <si>
    <t xml:space="preserve">1. As the full-permission caller, save a fake email for a fake user
2. As the limited caller, search for that exact email, asking for user IDs only
3. Check the reply</t>
  </si>
  <si>
    <t>200 OK; the matches list contains exactly that one user ID and nothing else.</t>
  </si>
  <si>
    <t>PII-AZ-006</t>
  </si>
  <si>
    <r>
      <rPr>
        <b/>
        <color rgb="FF0F172A"/>
      </rPr>
      <t>Searching emails AND asking for the values needs read permission too (403 without it)</t>
    </r>
    <r>
      <rPr>
        <color rgb="FF334155"/>
      </rPr>
      <t xml:space="preserve">
Searches for an email with the limited caller while asking for the email values back, which also needs read permission it does not have.</t>
    </r>
  </si>
  <si>
    <t>If search could return values, an app allowed only to search could use it as a back door to read emails.</t>
  </si>
  <si>
    <t xml:space="preserve">1. As the full-permission caller, save a fake email for a fake user
2. As the limited caller, search for that email and ask for the values to be included
3. Check the reply and its full text</t>
  </si>
  <si>
    <t>403 Forbidden with the authorization-denied error code; the email does not appear anywhere in the reply.</t>
  </si>
  <si>
    <t>PII-AZ-007</t>
  </si>
  <si>
    <r>
      <rPr>
        <b/>
        <color rgb="FF0F172A"/>
      </rPr>
      <t>Caller not allowed to search phones cannot search them (403)</t>
    </r>
    <r>
      <rPr>
        <color rgb="FF334155"/>
      </rPr>
      <t xml:space="preserve">
Searches for a phone number with the limited caller, which has no phone permissions at all.</t>
    </r>
  </si>
  <si>
    <t>If this worked, an app with no phone access could find out which users have a given phone number.</t>
  </si>
  <si>
    <t xml:space="preserve">1. As the limited caller, search for an approved test phone number
2. Check the reply</t>
  </si>
  <si>
    <t>Needs a restricted caller (limited) — skipped until configured; needs approved test phone numbers</t>
  </si>
  <si>
    <t>PII-SR-001</t>
  </si>
  <si>
    <r>
      <rPr>
        <b/>
        <color rgb="FF0F172A"/>
      </rPr>
      <t>Searching by exact email returns only user IDs, no personal data</t>
    </r>
    <r>
      <rPr>
        <color rgb="FF334155"/>
      </rPr>
      <t xml:space="preserve">
Saves a fake email for a fake user, then searches for that exact email without asking for values.</t>
    </r>
  </si>
  <si>
    <t>Search is used to find who owns a detail; by default it must return only user IDs so personal data is not exposed.</t>
  </si>
  <si>
    <t xml:space="preserve">1. Save a fake email for a fake user
2. Search the EMAIL field for that email with values turned off
3. Check the matches and scan the whole response for the email</t>
  </si>
  <si>
    <t>200 OK with message "PII search successful"; count is 1, truncated (a flag saying there were more matches than returned) is false, the only match is our user ID with nothing else, and the email appears nowhere in the response.</t>
  </si>
  <si>
    <t>PII-SR-002</t>
  </si>
  <si>
    <r>
      <rPr>
        <b/>
        <color rgb="FF0F172A"/>
      </rPr>
      <t>Search ignores upper/lower case and extra spaces in the value searched for</t>
    </r>
    <r>
      <rPr>
        <color rgb="FF334155"/>
      </rPr>
      <t xml:space="preserve">
Saves a fake email, then searches for it written in mixed capital letters with extra spaces around it.</t>
    </r>
  </si>
  <si>
    <t>Users type emails in many ways; search must clean up (normalise) the input so the same person is still found.</t>
  </si>
  <si>
    <t xml:space="preserve">1. Save a fake email for a fake user
2. Search for it in mixed capital letters with spaces before and after
3. Check the matches</t>
  </si>
  <si>
    <t>200 OK; the only match is our user ID.</t>
  </si>
  <si>
    <t>PII-SR-003</t>
  </si>
  <si>
    <r>
      <rPr>
        <b/>
        <color rgb="FF0F172A"/>
      </rPr>
      <t>Searching a formatted phone (with spaces, dashes or brackets) finds the stored digits-only phone</t>
    </r>
    <r>
      <rPr>
        <color rgb="FF334155"/>
      </rPr>
      <t xml:space="preserve">
Saves a digits-only phone number, then searches for it written with a plus sign, spaces, brackets and a dash.</t>
    </r>
  </si>
  <si>
    <t>Phone numbers are typed in many formats; search must strip the formatting so the stored number is still found.</t>
  </si>
  <si>
    <t xml:space="preserve">1. Save an approved test phone (digits only) for a fake user
2. Search the PHONE field using a formatted version like +91 (987) 654-3210, limit 100
3. Check the matches</t>
  </si>
  <si>
    <t>200 OK; our user ID is among the matches (other test users may share the number) unless the result is truncated, and count equals the number of matches.</t>
  </si>
  <si>
    <t>PII-SR-004</t>
  </si>
  <si>
    <r>
      <rPr>
        <b/>
        <color rgb="FF0F172A"/>
      </rPr>
      <t>A search with no match returns an empty result (exact behaviour is open question Q-08)</t>
    </r>
    <r>
      <rPr>
        <color rgb="FF334155"/>
      </rPr>
      <t xml:space="preserve">
Searches for a fake email that nobody has saved.</t>
    </r>
  </si>
  <si>
    <t>Callers must get a clear "no match" answer they can handle, not a server error or someone else’s ID.</t>
  </si>
  <si>
    <t xml:space="preserve">1. Pick a fake email that was never saved
2. Search the EMAIL field for it
3. Check the response</t>
  </si>
  <si>
    <t>Either 200 OK with count 0, no matches and truncated false, or 404 Not Found with error code PII_NOT_FOUND; both accepted until Dev question Q-08 is answered.</t>
  </si>
  <si>
    <t>PII-SR-005</t>
  </si>
  <si>
    <r>
      <rPr>
        <b/>
        <color rgb="FF0F172A"/>
      </rPr>
      <t>All users sharing the same email are returned</t>
    </r>
    <r>
      <rPr>
        <color rgb="FF334155"/>
      </rPr>
      <t xml:space="preserve">
Saves the same email for 3 different users, then searches for that email.</t>
    </r>
  </si>
  <si>
    <t>Shared details (e.g. a family email) are real; search must return every owner, not just the first one found.</t>
  </si>
  <si>
    <t xml:space="preserve">1. Save the same fake email for 3 fake users
2. Search for that email with a limit of 10
3. Compare the returned user IDs with the 3 users</t>
  </si>
  <si>
    <t>200 OK; count is 3, truncated is false, and the matches are exactly the 3 user IDs.</t>
  </si>
  <si>
    <t>PII-SR-006</t>
  </si>
  <si>
    <r>
      <rPr>
        <b/>
        <color rgb="FF0F172A"/>
      </rPr>
      <t>With more matches than the limit, only "limit" results come back, marked truncated</t>
    </r>
    <r>
      <rPr>
        <color rgb="FF334155"/>
      </rPr>
      <t xml:space="preserve">
Saves the same email for 3 users, then searches with a limit of 2.</t>
    </r>
  </si>
  <si>
    <t>The limit protects the service and callers from huge responses; callers must also be told that more matches exist.</t>
  </si>
  <si>
    <t xml:space="preserve">1. Save the same fake email for 3 fake users
2. Search for that email with a limit of 2
3. Check the count, the truncated flag and the returned IDs</t>
  </si>
  <si>
    <t>200 OK; count is 2, truncated (a flag saying there were more matches than returned) is true, and every returned ID is one of the 3 users.</t>
  </si>
  <si>
    <t>PII-SR-007</t>
  </si>
  <si>
    <r>
      <rPr>
        <b/>
        <color rgb="FF0F172A"/>
      </rPr>
      <t>When matches exactly equal the limit, the result is still marked truncated ("reached the limit")</t>
    </r>
    <r>
      <rPr>
        <color rgb="FF334155"/>
      </rPr>
      <t xml:space="preserve">
Saves the same email for 2 users, then searches with a limit of exactly 2.</t>
    </r>
  </si>
  <si>
    <t>The guide says truncated is set when matches reach the limit; callers depend on this flag to decide whether to search again.</t>
  </si>
  <si>
    <t xml:space="preserve">1. Save the same fake email for 2 fake users
2. Search for that email with a limit of 2
3. Check the count and the truncated flag</t>
  </si>
  <si>
    <t>200 OK; count is 2 and truncated is true (guide wording taken literally; see Dev question Q-09).</t>
  </si>
  <si>
    <t>PII-SR-008</t>
  </si>
  <si>
    <r>
      <rPr>
        <b/>
        <color rgb="FF0F172A"/>
      </rPr>
      <t>The default limit is used when no limit is given</t>
    </r>
    <r>
      <rPr>
        <color rgb="FF334155"/>
      </rPr>
      <t xml:space="preserve">
Saves the same email for one more user than the default search limit, then searches without giving a limit.</t>
    </r>
  </si>
  <si>
    <t>Without a limit, search must fall back to the default so one request cannot return an unbounded list of users.</t>
  </si>
  <si>
    <t xml:space="preserve">1. Read the default search limit for this environment
2. Save the same fake email for (default limit + 1) fake users
3. Search for that email without a limit
4. Check the count and the truncated flag</t>
  </si>
  <si>
    <t>200 OK; count equals the default limit and truncated is true.</t>
  </si>
  <si>
    <t>Uses the environment’s limit (guide value until Dev confirms)</t>
  </si>
  <si>
    <t>PII-SR-009</t>
  </si>
  <si>
    <r>
      <rPr>
        <b/>
        <color rgb="FF0F172A"/>
      </rPr>
      <t>A limit outside 1–100 is rejected (422)</t>
    </r>
    <r>
      <rPr>
        <color rgb="FF334155"/>
      </rPr>
      <t xml:space="preserve">
Sends email searches with limits outside the allowed range of 1–100: 0, 101 and -1.</t>
    </r>
  </si>
  <si>
    <t>Out-of-range limits could return nothing useful or overload the service, so they must be rejected clearly.</t>
  </si>
  <si>
    <t xml:space="preserve">1. Search for a fake email with limit 0
2. Repeat with limit 101
3. Repeat with limit -1</t>
  </si>
  <si>
    <t>422 Unprocessable Entity (request validation error) with a recognised error body for each limit.</t>
  </si>
  <si>
    <t>PII-SR-010</t>
  </si>
  <si>
    <r>
      <rPr>
        <b/>
        <color rgb="FF0F172A"/>
      </rPr>
      <t>Asking for values returns tenant, user, field and the cleaned-up value</t>
    </r>
    <r>
      <rPr>
        <color rgb="FF334155"/>
      </rPr>
      <t xml:space="preserve">
Saves a fake email, then searches for it in messy form (mixed capitals, extra spaces) with values turned on.</t>
    </r>
  </si>
  <si>
    <t>Apps that ask for values need the correct owner and the stored, cleaned-up value, not the messy text they typed.</t>
  </si>
  <si>
    <t xml:space="preserve">1. Save a fake email for a fake user
2. Search for it in mixed capitals with extra spaces, asking for values
3. Check the returned tenant, user, field and value</t>
  </si>
  <si>
    <t>200 OK; count is 1 and the match has our tenant, user ID, field EMAIL, and a value equal to the saved (clean) email.</t>
  </si>
  <si>
    <t>PII-SR-011</t>
  </si>
  <si>
    <r>
      <rPr>
        <b/>
        <color rgb="FF0F172A"/>
      </rPr>
      <t>A search request with missing or invalid fields is rejected (422)</t>
    </r>
    <r>
      <rPr>
        <color rgb="FF334155"/>
      </rPr>
      <t xml:space="preserve">
Sends three bad email searches: one without a value, one without a tenant ID, and one where "include values" is "maybe" instead of true/false.</t>
    </r>
  </si>
  <si>
    <t>Incomplete or wrongly typed requests must be rejected so the service never searches the wrong tenant or guesses the caller’s intent.</t>
  </si>
  <si>
    <t xml:space="preserve">1. Search EMAIL with a tenant ID but no value
2. Search EMAIL with a value but no tenant ID
3. Search EMAIL with include values set to "maybe"</t>
  </si>
  <si>
    <t>PII-SR-012</t>
  </si>
  <si>
    <r>
      <rPr>
        <b/>
        <color rgb="FF0F172A"/>
      </rPr>
      <t>Searching a field that is not searchable is rejected</t>
    </r>
    <r>
      <rPr>
        <color rgb="FF334155"/>
      </rPr>
      <t xml:space="preserve">
Searches a field that is configured as not searchable.</t>
    </r>
  </si>
  <si>
    <t>Some personal data must never be looked up by value; the service must refuse such searches.</t>
  </si>
  <si>
    <t xml:space="preserve">1. Take the non-searchable field name from the environment settings
2. Search that field for any value
3. Check the response is a rejection</t>
  </si>
  <si>
    <t>Rejected with 400, 403, 404 or 422 and a recognised error body; any of these accepted until Dev question Q-18 is answered.</t>
  </si>
  <si>
    <t>Waiting on Dev question Q-18 (which fields are not searchable) — shows as Not Tested until answered</t>
  </si>
  <si>
    <t>PII-TI-003</t>
  </si>
  <si>
    <r>
      <rPr>
        <b/>
        <color rgb="FF0F172A"/>
      </rPr>
      <t>Search only looks inside the requested tenant</t>
    </r>
    <r>
      <rPr>
        <color rgb="FF334155"/>
      </rPr>
      <t xml:space="preserve">
Saves the same email for one user in tenant A and another user in tenant B, then searches for it in tenant A only.</t>
    </r>
  </si>
  <si>
    <t>If search looked across tenants, one customer could discover another customer’s users just by searching for an email.</t>
  </si>
  <si>
    <t xml:space="preserve">1. Save a shared fake email for user A in tenant A
2. Save the same email for user B in tenant B
3. Search for the email in tenant A
4. Check the matches</t>
  </si>
  <si>
    <t>200 OK; the reply is labelled tenant A and the matches list contains only user A.</t>
  </si>
  <si>
    <t>5.  Bulk read PII     POST /api/v1/pii/batch/read        10 test cases  ·  ✔ 0  ·  ✘ 0  ·  — 10</t>
  </si>
  <si>
    <t>What this endpoint does: Read fields for multiple users in one set-based query.</t>
  </si>
  <si>
    <t>PII-AZ-008</t>
  </si>
  <si>
    <r>
      <rPr>
        <b/>
        <color rgb="FF0F172A"/>
      </rPr>
      <t>Caller without bulk-read permission cannot use bulk read, even for names it may read (403)</t>
    </r>
    <r>
      <rPr>
        <color rgb="FF334155"/>
      </rPr>
      <t xml:space="preserve">
Uses bulk read (reading many users in one request) with the limited caller for names, which it may read one at a time but has no bulk-read permission for.</t>
    </r>
  </si>
  <si>
    <t>Bulk read makes it easy to copy lots of data at once; if it ignored its own permission, an app could mass-export personal data.</t>
  </si>
  <si>
    <t xml:space="preserve">1. As the full-permission caller, save a fake name for a fake user
2. As the limited caller, bulk-read the name for that user
3. Check the reply</t>
  </si>
  <si>
    <t>PII-BR-001</t>
  </si>
  <si>
    <r>
      <rPr>
        <b/>
        <color rgb="FF0F172A"/>
      </rPr>
      <t>Bulk read of 2 users × 2 fields returns all 4 values</t>
    </r>
    <r>
      <rPr>
        <color rgb="FF334155"/>
      </rPr>
      <t xml:space="preserve">
Saves an email and a name for 2 fake users, then reads both fields for both users in one bulk request.</t>
    </r>
  </si>
  <si>
    <t>Bulk read lets apps fetch many people’s details at once; every user-field pair must come back with the right value.</t>
  </si>
  <si>
    <t xml:space="preserve">1. Save a fake email and name for 2 fake users
2. Send one bulk read for both users and fields EMAIL and NAME
3. Check each returned value against what was saved</t>
  </si>
  <si>
    <t>200 OK with message "PII batch read successful"; tenant matches, count is 4, the 4 user-field pairs are exactly the expected ones, and each value equals the saved one.</t>
  </si>
  <si>
    <t>PII-BR-002</t>
  </si>
  <si>
    <r>
      <rPr>
        <b/>
        <color rgb="FF0F172A"/>
      </rPr>
      <t>Bulk read leaves out fields a user does not have</t>
    </r>
    <r>
      <rPr>
        <color rgb="FF334155"/>
      </rPr>
      <t xml:space="preserve">
Saves an email and name for one user but only an email for a second, then bulk reads both fields for both.</t>
    </r>
  </si>
  <si>
    <t>Users often lack some details; bulk read should return what exists without failing or inventing empty values.</t>
  </si>
  <si>
    <t xml:space="preserve">1. Save an email and name for user 1
2. Save only an email for user 2
3. Bulk read EMAIL and NAME for both users
4. Check which pairs come back</t>
  </si>
  <si>
    <t>200 OK; count is 3 and the pairs are user 1 EMAIL, user 1 NAME and user 2 EMAIL (user 2 NAME is left out).</t>
  </si>
  <si>
    <t>PII-BR-003</t>
  </si>
  <si>
    <r>
      <rPr>
        <b/>
        <color rgb="FF0F172A"/>
      </rPr>
      <t>The whole bulk read fails (404) if one user has none of the requested fields</t>
    </r>
    <r>
      <rPr>
        <color rgb="FF334155"/>
      </rPr>
      <t xml:space="preserve">
Bulk reads the email of two users, where only the first user has any saved data.</t>
    </r>
  </si>
  <si>
    <t>The service treats a user with no requested data as a failure of the whole request; callers must get a clear not-found answer.</t>
  </si>
  <si>
    <t xml:space="preserve">1. Save a fake email for user 1
2. Leave user 2 with no saved data
3. Bulk read EMAIL for both users
4. Check the error returned</t>
  </si>
  <si>
    <t>PII-BR-004</t>
  </si>
  <si>
    <r>
      <rPr>
        <b/>
        <color rgb="FF0F172A"/>
      </rPr>
      <t>A bulk read of exactly the maximum size (users × fields) is accepted</t>
    </r>
    <r>
      <rPr>
        <color rgb="FF334155"/>
      </rPr>
      <t xml:space="preserve">
Saves an email for as many users as the maximum bulk size, then bulk reads EMAIL for all of them.</t>
    </r>
  </si>
  <si>
    <t>Apps must be able to use the full allowed bulk size; a request right at the limit must not be wrongly rejected.</t>
  </si>
  <si>
    <t xml:space="preserve">1. Read the maximum bulk size (users × fields) for this environment
2. Save an email for that many fake users
3. Bulk read EMAIL for all of them
4. Check the count</t>
  </si>
  <si>
    <t>200 OK; count equals the maximum bulk size. Skipped if the limit is above 200 users.</t>
  </si>
  <si>
    <t>PII-BR-005</t>
  </si>
  <si>
    <r>
      <rPr>
        <b/>
        <color rgb="FF0F172A"/>
      </rPr>
      <t>A bulk read one item over the maximum size is rejected</t>
    </r>
    <r>
      <rPr>
        <color rgb="FF334155"/>
      </rPr>
      <t xml:space="preserve">
Saves an email for one more user than the maximum bulk size, then bulk reads EMAIL for all of them.</t>
    </r>
  </si>
  <si>
    <t>The size limit protects the service from overload; a request just over it must be refused.</t>
  </si>
  <si>
    <t xml:space="preserve">1. Read the maximum bulk size for this environment
2. Save an email for (maximum + 1) fake users so none are missing
3. Bulk read EMAIL for all of them
4. Check the response is a rejection</t>
  </si>
  <si>
    <t>Rejected with 400, 413 or 422 and a recognised error body; any of these accepted until Dev question Q-19 is answered. Skipped if maximum + 1 is above 200 users.</t>
  </si>
  <si>
    <t>PII-BR-006</t>
  </si>
  <si>
    <r>
      <rPr>
        <b/>
        <color rgb="FF0F172A"/>
      </rPr>
      <t>Repeated user IDs or fields in a bulk read are returned only once</t>
    </r>
    <r>
      <rPr>
        <color rgb="FF334155"/>
      </rPr>
      <t xml:space="preserve">
Saves an email for a user, then bulk reads with the same user ID twice and the EMAIL field twice.</t>
    </r>
  </si>
  <si>
    <t>Repeated entries must not produce duplicate results, which could confuse callers or double-count people.</t>
  </si>
  <si>
    <t xml:space="preserve">1. Save a fake email for a fake user
2. Bulk read with that user ID listed twice and EMAIL listed twice
3. Check how many items come back</t>
  </si>
  <si>
    <t>200 OK; count is 1 and the only item is that user’s EMAIL (whether repeats count toward the size limit is Dev question Q-20, not checked here).</t>
  </si>
  <si>
    <t>PII-BR-007</t>
  </si>
  <si>
    <r>
      <rPr>
        <b/>
        <color rgb="FF0F172A"/>
      </rPr>
      <t>Bulk reads over the request limits (too many users or fields) are rejected</t>
    </r>
    <r>
      <rPr>
        <color rgb="FF334155"/>
      </rPr>
      <t xml:space="preserve">
Sends four invalid bulk reads: no user IDs, no fields, 201 user IDs (over 200), and 65 fields (over 64).</t>
    </r>
  </si>
  <si>
    <t>Empty or oversized bulk requests are caller mistakes or abuse and must be rejected before any data is read.</t>
  </si>
  <si>
    <t xml:space="preserve">1. Bulk read with an empty user list
2. Bulk read with an empty field list
3. Bulk read EMAIL for 201 user IDs
4. Bulk read 65 made-up fields for one user</t>
  </si>
  <si>
    <t>Empty lists: 422 Unprocessable Entity (request validation error). Too many users or fields: rejected with 400, 413 or 422 and a recognised error body (exact status is Dev question Q-19).</t>
  </si>
  <si>
    <t>PII-DB-007</t>
  </si>
  <si>
    <r>
      <rPr>
        <b/>
        <color rgb="FF0F172A"/>
      </rPr>
      <t>Each bulk read writes one audit record (PII_BATCH_READ)</t>
    </r>
    <r>
      <rPr>
        <color rgb="FF334155"/>
      </rPr>
      <t xml:space="preserve">
Will do a bulk read (reading several fields or users in one request) and check exactly one audit record (a log entry of who read what) of type PII_BATCH_READ is written for it.</t>
    </r>
  </si>
  <si>
    <t>Every access to personal data must leave an audit trail; if bulk reads were not recorded, data access could go unnoticed.</t>
  </si>
  <si>
    <t xml:space="preserve">1. Save a fake test email for a fake test user
2. Bulk-read the EMAIL and NAME fields for that user
3. Find the audit records for that request’s ID</t>
  </si>
  <si>
    <t>Bulk read returns 200; exactly one audit record of type PII_BATCH_READ exists for that request.</t>
  </si>
  <si>
    <t>Waiting on Dev question Q-26 — the audit trail is in MongoDB, so read-only MongoDB access and a Mongo check in the framework (Q-35) are needed; shows as Not Tested until then.</t>
  </si>
  <si>
    <t>PII-TI-004</t>
  </si>
  <si>
    <r>
      <rPr>
        <b/>
        <color rgb="FF0F172A"/>
      </rPr>
      <t>A bulk read in tenant B cannot see tenant A’s users (404)</t>
    </r>
    <r>
      <rPr>
        <color rgb="FF334155"/>
      </rPr>
      <t xml:space="preserve">
Saves an email for a user in tenant A, then uses bulk read (reading many users in one request) in tenant B to ask for that user.</t>
    </r>
  </si>
  <si>
    <t>Bulk read can pull lots of data at once; if it crossed tenants, one customer could mass-copy another customer’s data.</t>
  </si>
  <si>
    <t xml:space="preserve">1. Save a fake email for a fake user in tenant A
2. Bulk-read that user’s email with tenant B in the request
3. Check the reply</t>
  </si>
  <si>
    <t>404 Not Found with the not-found error code.</t>
  </si>
  <si>
    <t>6.  Create temporary phone     POST /api/v1/transient/phones        7 test cases  ·  ✔ 0  ·  ✘ 0  ·  — 7</t>
  </si>
  <si>
    <t>What this endpoint does: Create a temporary encrypted phone mapping.</t>
  </si>
  <si>
    <t>PII-AZ-009</t>
  </si>
  <si>
    <r>
      <rPr>
        <b/>
        <color rgb="FF0F172A"/>
      </rPr>
      <t>Caller not allowed to save phones cannot create or promote temporary phones (403)</t>
    </r>
    <r>
      <rPr>
        <color rgb="FF334155"/>
      </rPr>
      <t xml:space="preserve">
With the limited caller (no phone permission), tries to create a temporary phone record and to promote (turn into a permanent user phone) one made by another caller.</t>
    </r>
  </si>
  <si>
    <t>If this worked, an app without phone access could store phone numbers or attach them to users.</t>
  </si>
  <si>
    <t xml:space="preserve">1. As the limited caller, create a temporary phone record and check the reply
2. As the full-permission caller, create a temporary phone record
3. As the limited caller, try to promote that record to a user and check the reply</t>
  </si>
  <si>
    <t>Both attempts return 403 Forbidden with the authorization-denied error code (the permission check happens before the record lookup).</t>
  </si>
  <si>
    <t>PII-DB-005</t>
  </si>
  <si>
    <r>
      <rPr>
        <b/>
        <color rgb="FF0F172A"/>
      </rPr>
      <t>A temporary phone is stored encrypted, tied to its tenant, and marked used once promoted</t>
    </r>
    <r>
      <rPr>
        <color rgb="FF334155"/>
      </rPr>
      <t xml:space="preserve">
Creates a temporary phone record, checks the database stores it encrypted under the right tenant with the right expiry, then links it to a fake user and checks it is marked used (or removed) and the user now has a phone.</t>
    </r>
  </si>
  <si>
    <t>Temporary phones hold personal data too; they must be encrypted, expire on time, and not be reusable after being linked to a user.</t>
  </si>
  <si>
    <t xml:space="preserve">1. Create a temporary phone record with an approved fake test phone number and the shortest allowed lifetime
2. Check its database row: tenant, not used yet, phone not readable, expiry matches the reply
3. Promote (link) it to a fake test user
4. Check the temporary row again and the user’s PHONE row</t>
  </si>
  <si>
    <t>Row exists with the right tenant, not marked used, phone not in readable form, expiry within the allowed clock difference; promote returns 200; afterwards the temporary row is marked used or gone, and the user has exactly one PHONE row.</t>
  </si>
  <si>
    <t>Needs read-only database access and approved test phone numbers. Accepting “marked used” or “deleted” is an assumption noted against Dev question Q-25.</t>
  </si>
  <si>
    <t>PII-TR-001</t>
  </si>
  <si>
    <r>
      <rPr>
        <b/>
        <color rgb="FF0F172A"/>
      </rPr>
      <t>Creating a temporary phone returns 201, an ID, and an expiry time of now + lifetime</t>
    </r>
    <r>
      <rPr>
        <color rgb="FF334155"/>
      </rPr>
      <t xml:space="preserve">
Stores a phone number temporarily with the shortest allowed lifetime (TTL, how long the service keeps it) and checks the reply.</t>
    </r>
  </si>
  <si>
    <t>Apps rely on the returned ID and expiry time to know how long they can use the temporary number; a wrong expiry means numbers vanish too early or live too long.</t>
  </si>
  <si>
    <t xml:space="preserve">1. Send a formatted test phone number with the minimum lifetime
2. Note the time before and after the request
3. Check the returned tenant and expiry time</t>
  </si>
  <si>
    <t>201 Created with a valid body (including an ID); tenant matches ours; expiry time equals now + lifetime, within the allowed clock difference.</t>
  </si>
  <si>
    <t>PII-TR-008</t>
  </si>
  <si>
    <r>
      <rPr>
        <b/>
        <color rgb="FF0F172A"/>
      </rPr>
      <t>Lifetimes at the allowed minimum and maximum are accepted; outside them 400 VALIDATION_ERROR</t>
    </r>
    <r>
      <rPr>
        <color rgb="FF334155"/>
      </rPr>
      <t xml:space="preserve">
Creates temporary phones with lifetimes exactly at the allowed minimum and maximum, then one second below and above them.</t>
    </r>
  </si>
  <si>
    <t>The service must enforce its lifetime limits so numbers are not kept too briefly or for too long.</t>
  </si>
  <si>
    <t xml:space="preserve">1. Create with the minimum lifetime
2. Create with the maximum lifetime
3. Create with minimum minus 1 second
4. Create with maximum plus 1 second</t>
  </si>
  <si>
    <t>Minimum and maximum return 201 Created; values just outside return 400 VALIDATION_ERROR.</t>
  </si>
  <si>
    <t>Needs approved test phone numbers. Uses the environment’s lifetime limits (guide values until Dev confirms)</t>
  </si>
  <si>
    <t>PII-TR-009</t>
  </si>
  <si>
    <r>
      <rPr>
        <b/>
        <color rgb="FF0F172A"/>
      </rPr>
      <t>A zero, negative or fractional lifetime is rejected</t>
    </r>
    <r>
      <rPr>
        <color rgb="FF334155"/>
      </rPr>
      <t xml:space="preserve">
Tries to create temporary phones with a lifetime of 0, -1 and the text "abc".</t>
    </r>
  </si>
  <si>
    <t>The lifetime must be a positive whole number; nonsense values must be refused instead of creating broken records.</t>
  </si>
  <si>
    <t xml:space="preserve">1. Create with lifetime 0
2. Create with lifetime -1
3. Create with lifetime "abc"</t>
  </si>
  <si>
    <t>0 and -1 are rejected with 400 or 422 and an error body (exact status pending Dev question Q-11); "abc" returns 422 with a validation error body.</t>
  </si>
  <si>
    <t>PII-TR-010</t>
  </si>
  <si>
    <r>
      <rPr>
        <b/>
        <color rgb="FF0F172A"/>
      </rPr>
      <t>An invalid phone number is rejected (400 VALIDATION_ERROR)</t>
    </r>
    <r>
      <rPr>
        <color rgb="FF334155"/>
      </rPr>
      <t xml:space="preserve">
Tries to create temporary phones with invalid numbers: too short, too long, and with no digits.</t>
    </r>
  </si>
  <si>
    <t>Storing numbers that are not real phone numbers would break later SMS or calls and pollute data.</t>
  </si>
  <si>
    <t xml:space="preserve">1. Create with "123-4567"
2. Create with "+1234 5678 9012 3456"
3. Create with "no digits"</t>
  </si>
  <si>
    <t>Each request returns 400 VALIDATION_ERROR.</t>
  </si>
  <si>
    <t>PII-TR-011</t>
  </si>
  <si>
    <r>
      <rPr>
        <b/>
        <color rgb="FF0F172A"/>
      </rPr>
      <t>A temporary-phone request missing required fields is rejected (422)</t>
    </r>
    <r>
      <rPr>
        <color rgb="FF334155"/>
      </rPr>
      <t xml:space="preserve">
Sends temporary-phone create requests each missing one required field: tenant, phone or lifetime.</t>
    </r>
  </si>
  <si>
    <t>Incomplete requests must be refused clearly instead of creating partial records.</t>
  </si>
  <si>
    <t xml:space="preserve">1. Send a create request without tenant
2. Send one without phone
3. Send one without lifetime</t>
  </si>
  <si>
    <t>Each request returns 422 with a validation error body.</t>
  </si>
  <si>
    <t>7.  Look up temporary phone     POST /api/v1/transient/phones/resolve        6 test cases  ·  ✔ 0  ·  ✘ 0  ·  — 6</t>
  </si>
  <si>
    <t>What this endpoint does: Resolve an owned, unexpired mapping.</t>
  </si>
  <si>
    <t>PII-AZ-010</t>
  </si>
  <si>
    <r>
      <rPr>
        <b/>
        <color rgb="FF0F172A"/>
      </rPr>
      <t>Caller not allowed to read phones cannot look up a temporary phone (403)</t>
    </r>
    <r>
      <rPr>
        <color rgb="FF334155"/>
      </rPr>
      <t xml:space="preserve">
Creates a temporary phone record, then tries to look up its phone number with the limited caller, which may not read phones.</t>
    </r>
  </si>
  <si>
    <t>If this worked, an app without phone access could read phone numbers through temporary records.</t>
  </si>
  <si>
    <t xml:space="preserve">1. As the full-permission caller, create a temporary phone record
2. As the limited caller, look up that record
3. Check the reply</t>
  </si>
  <si>
    <t>PII-TR-002</t>
  </si>
  <si>
    <r>
      <rPr>
        <b/>
        <color rgb="FF0F172A"/>
      </rPr>
      <t>Looking up a temporary phone returns the cleaned-up number, marked as not to be cached</t>
    </r>
    <r>
      <rPr>
        <color rgb="FF334155"/>
      </rPr>
      <t xml:space="preserve">
Looks up (resolves) a temporary phone by its ID and checks the number comes back in cleaned-up (normalized, standard) form.</t>
    </r>
  </si>
  <si>
    <t>Apps need to get the real number back to use it, and a phone number must not be kept in caches along the way.</t>
  </si>
  <si>
    <t xml:space="preserve">1. Store a formatted test phone number temporarily
2. Look it up using the returned ID
3. Compare the number, tenant, ID and expiry time with what was stored</t>
  </si>
  <si>
    <t>200 OK; Cache-Control: no-store (a header telling other systems not to keep a copy); tenant, ID and expiry match the create reply; phone equals the normalized number.</t>
  </si>
  <si>
    <t>PII-TR-003</t>
  </si>
  <si>
    <r>
      <rPr>
        <b/>
        <color rgb="FF0F172A"/>
      </rPr>
      <t>A different caller cannot look up or promote the temporary phone (404)</t>
    </r>
    <r>
      <rPr>
        <color rgb="FF334155"/>
      </rPr>
      <t xml:space="preserve">
Has a second registered app (caller) try to look up and promote a temporary phone created by our app.</t>
    </r>
  </si>
  <si>
    <t>A temporary phone belongs only to the app that created it; another app must not read it or turn it into someone’s permanent number.</t>
  </si>
  <si>
    <t xml:space="preserve">1. Store a phone number temporarily as the main caller
2. As the second caller, try to look it up
3. As the second caller, try to promote it
4. As the main caller, look it up again</t>
  </si>
  <si>
    <t>Both attempts by the second caller return 404 TRANSIENT_PHONE_NOT_FOUND; the owner can still look it up (200 OK), so the attempts did not use it up.</t>
  </si>
  <si>
    <t>Needs approved test phone numbers. Needs a second registered caller (secondary) — skipped until configured</t>
  </si>
  <si>
    <t>PII-TR-004</t>
  </si>
  <si>
    <r>
      <rPr>
        <b/>
        <color rgb="FF0F172A"/>
      </rPr>
      <t>The temporary phone cannot be looked up or promoted through a different tenant (404)</t>
    </r>
    <r>
      <rPr>
        <color rgb="FF334155"/>
      </rPr>
      <t xml:space="preserve">
Tries to look up and promote a temporary phone using a different tenant (customer organisation) than the one it was created in.</t>
    </r>
  </si>
  <si>
    <t>Data from one tenant must never be reachable from another tenant.</t>
  </si>
  <si>
    <t xml:space="preserve">1. Store a phone number temporarily in our tenant
2. Try to look it up with the second tenant
3. Try to promote it with the second tenant</t>
  </si>
  <si>
    <t>Both requests return 404 TRANSIENT_PHONE_NOT_FOUND.</t>
  </si>
  <si>
    <t>Needs approved test phone numbers. Needs a second test tenant</t>
  </si>
  <si>
    <t>PII-TR-005</t>
  </si>
  <si>
    <r>
      <rPr>
        <b/>
        <color rgb="FF0F172A"/>
      </rPr>
      <t>Unknown temporary-phone ID returns 404; a badly formed ID returns 422</t>
    </r>
    <r>
      <rPr>
        <color rgb="FF334155"/>
      </rPr>
      <t xml:space="preserve">
Looks up a temporary phone with a random ID that does not exist, then looks up and promotes with an ID that is not a valid UUID (the standard ID format).</t>
    </r>
  </si>
  <si>
    <t>The service must clearly separate “not found” from “bad request” and not crash on bad input.</t>
  </si>
  <si>
    <t xml:space="preserve">1. Look up a random, never-created ID
2. Look up with the ID "not-a-uuid"
3. Promote with the ID "not-a-uuid"</t>
  </si>
  <si>
    <t>Unknown ID returns 404 TRANSIENT_PHONE_NOT_FOUND; both badly formed IDs return 422 with a validation error body.</t>
  </si>
  <si>
    <t>PII-TR-012</t>
  </si>
  <si>
    <r>
      <rPr>
        <b/>
        <color rgb="FF0F172A"/>
      </rPr>
      <t>An expired temporary phone cannot be looked up or promoted (404)</t>
    </r>
    <r>
      <rPr>
        <color rgb="FF334155"/>
      </rPr>
      <t xml:space="preserve">
Stores a phone temporarily with the minimum lifetime, waits until it has expired, then tries to look it up and promote it.</t>
    </r>
  </si>
  <si>
    <t>Expired temporary numbers must really disappear; otherwise data is kept longer than promised.</t>
  </si>
  <si>
    <t xml:space="preserve">1. Store a phone number temporarily with the minimum lifetime
2. Wait for the lifetime plus the allowed clock difference
3. Try to look it up
4. Try to promote it</t>
  </si>
  <si>
    <t>Needs a QA environment where temporary phones expire quickly (Dev question Q-12) — shows as Not Tested until available</t>
  </si>
  <si>
    <t>8.  Promote temporary phone     POST /api/v1/transient/phones/promote        2 test cases  ·  ✔ 0  ·  ✘ 0  ·  — 2</t>
  </si>
  <si>
    <t>What this endpoint does: Store a transient phone as permanent user PII.</t>
  </si>
  <si>
    <t>PII-TR-006</t>
  </si>
  <si>
    <r>
      <rPr>
        <b/>
        <color rgb="FF0F172A"/>
      </rPr>
      <t>Promoting saves it as the user’s permanent phone (created=true), uses it up, and it can be read</t>
    </r>
    <r>
      <rPr>
        <color rgb="FF334155"/>
      </rPr>
      <t xml:space="preserve">
Promotes a temporary phone to become a user’s permanent PHONE, then checks it can be read and the temporary one is used up.</t>
    </r>
  </si>
  <si>
    <t>Promotion is the main way a verified temporary number becomes permanent; it must save the right number and only work once.</t>
  </si>
  <si>
    <t xml:space="preserve">1. Store a formatted test phone number temporarily
2. Promote it for a new user
3. Read the user’s PHONE
4. Try to look up and promote the temporary ID again</t>
  </si>
  <si>
    <t>200 OK with field PHONE, created=true and consumed=true; reading PHONE returns the normalized number; later lookup and repeat promote both return 404 TRANSIENT_PHONE_NOT_FOUND.</t>
  </si>
  <si>
    <t>PII-TR-007</t>
  </si>
  <si>
    <r>
      <rPr>
        <b/>
        <color rgb="FF0F172A"/>
      </rPr>
      <t>Promoting replaces the user’s existing permanent phone (created=false)</t>
    </r>
    <r>
      <rPr>
        <color rgb="FF334155"/>
      </rPr>
      <t xml:space="preserve">
Promotes a temporary phone for a user who already has a permanent PHONE, and checks the old number is replaced.</t>
    </r>
  </si>
  <si>
    <t>When a user changes their number, promotion must overwrite the old one rather than keep a stale number.</t>
  </si>
  <si>
    <t xml:space="preserve">1. Save a first test number as the user’s PHONE
2. Store a second test number temporarily
3. Promote it for the same user
4. Read the user’s PHONE</t>
  </si>
  <si>
    <t>200 OK with created=false and consumed=true; reading PHONE returns the second (new) number.</t>
  </si>
  <si>
    <t>Needs approved test phone numbers (at least 2, otherwise skipped)</t>
  </si>
  <si>
    <t>9.  Create encryption key     POST /api/v1/free-text/keys        5 test cases  ·  ✔ 0  ·  ✘ 0  ·  — 5</t>
  </si>
  <si>
    <t>What this endpoint does: Create a caller-owned free-text encryption key.</t>
  </si>
  <si>
    <t>PII-DB-006</t>
  </si>
  <si>
    <r>
      <rPr>
        <b/>
        <color rgb="FF0F172A"/>
      </rPr>
      <t>A revoked encryption key is marked REVOKED and the key itself is not stored in readable form</t>
    </r>
    <r>
      <rPr>
        <color rgb="FF334155"/>
      </rPr>
      <t xml:space="preserve">
Creates an encryption key for free text, checks the database stores it ACTIVE for the right tenant without the key itself being readable, then revokes it and checks it is marked REVOKED with a revoke time.</t>
    </r>
  </si>
  <si>
    <t>If a key were stored readable, anyone with database access could decrypt data; if revoking did not stick, a withdrawn key could still be used.</t>
  </si>
  <si>
    <t xml:space="preserve">1. Create a new encryption key for the test tenant
2. Check its database row: tenant, status ACTIVE, and the key not stored in readable form
3. Revoke the key
4. Check the database row again</t>
  </si>
  <si>
    <t>Row belongs to the test tenant with status ACTIVE and no readable copy of the key (in either text or raw form); revoke returns 200; the row then shows status REVOKED and a revoke time.</t>
  </si>
  <si>
    <t>Needs read-only database access. If the database does not expose the stored key column, the readable-key check is skipped and noted against Dev question Q-16.</t>
  </si>
  <si>
    <t>PII-FT-001</t>
  </si>
  <si>
    <r>
      <rPr>
        <b/>
        <color rgb="FF0F172A"/>
      </rPr>
      <t>Creating an encryption key returns 201 and an active 256-bit AES-256-GCM key that must not be cached</t>
    </r>
    <r>
      <rPr>
        <color rgb="FF334155"/>
      </rPr>
      <t xml:space="preserve">
Asks the service for a new free-text encryption key and checks it is an active AES-256-GCM key (a standard strong encryption method) of exactly 256 bits.</t>
    </r>
  </si>
  <si>
    <t>Apps use this key to encrypt users’ notes; a weak, wrong-sized or cacheable key would put that data at risk.</t>
  </si>
  <si>
    <t xml:space="preserve">1. Request a new encryption key for our tenant
2. Check the reply fields and the response headers
3. Decode the key and check its length</t>
  </si>
  <si>
    <t>201 Created; tenant matches, algorithm AES-256-GCM, status ACTIVE; key decodes to exactly 32 bytes; Cache-Control: no-store (a header telling other systems not to keep a copy).</t>
  </si>
  <si>
    <t>PII-FT-008</t>
  </si>
  <si>
    <r>
      <rPr>
        <b/>
        <color rgb="FF0F172A"/>
      </rPr>
      <t>Every new key gets its own ID and its own key value</t>
    </r>
    <r>
      <rPr>
        <color rgb="FF334155"/>
      </rPr>
      <t xml:space="preserve">
Creates two encryption keys and checks they have different IDs and different key values.</t>
    </r>
  </si>
  <si>
    <t>If keys repeated, one app’s or note’s key could decrypt another’s data.</t>
  </si>
  <si>
    <t xml:space="preserve">1. Create a first key
2. Create a second key
3. Compare their IDs and key values</t>
  </si>
  <si>
    <t>Both creates succeed; the key IDs differ and the key values differ.</t>
  </si>
  <si>
    <t>PII-FT-009</t>
  </si>
  <si>
    <r>
      <rPr>
        <b/>
        <color rgb="FF0F172A"/>
      </rPr>
      <t>The returned key really works to encrypt and decrypt data (AES-256-GCM)</t>
    </r>
    <r>
      <rPr>
        <color rgb="FF334155"/>
      </rPr>
      <t xml:space="preserve">
Uses a newly created key to encrypt a sample text with AES-256-GCM and decrypts it again.</t>
    </r>
  </si>
  <si>
    <t>A key that looks right but cannot actually encrypt and decrypt would leave apps unable to protect notes.</t>
  </si>
  <si>
    <t xml:space="preserve">1. Create a new encryption key
2. Encrypt a synthetic text with it locally
3. Decrypt the result with the same key</t>
  </si>
  <si>
    <t>Key creation succeeds and the decrypted text exactly matches the original.</t>
  </si>
  <si>
    <t>PII-FT-010</t>
  </si>
  <si>
    <r>
      <rPr>
        <b/>
        <color rgb="FF0F172A"/>
      </rPr>
      <t>Key values never appear in logs or report files</t>
    </r>
    <r>
      <rPr>
        <color rgb="FF334155"/>
      </rPr>
      <t xml:space="preserve">
Creates and reads a key, then scans the test’s API call log and report notes for the key value.</t>
    </r>
  </si>
  <si>
    <t>A key written into logs or reports could be copied by anyone who can see them, exposing all notes encrypted with it.</t>
  </si>
  <si>
    <t xml:space="preserve">1. Create a new encryption key
2. Read it back
3. Search the API call log for both key values
4. Search the report notes for the key value</t>
  </si>
  <si>
    <t>The read returns 200 OK; neither key value appears (in any readable form) in the API call log or report notes.</t>
  </si>
  <si>
    <t>10.  Read encryption key     POST /api/v1/free-text/keys/read        4 test cases  ·  ✔ 0  ·  ✘ 0  ·  — 4</t>
  </si>
  <si>
    <t>What this endpoint does: Retrieve an active caller-owned key.</t>
  </si>
  <si>
    <t>PII-FT-002</t>
  </si>
  <si>
    <r>
      <rPr>
        <b/>
        <color rgb="FF0F172A"/>
      </rPr>
      <t>Reading an active key returns the same key, marked as not to be cached</t>
    </r>
    <r>
      <rPr>
        <color rgb="FF334155"/>
      </rPr>
      <t xml:space="preserve">
Reads back an active encryption key and checks it is exactly the key that was created.</t>
    </r>
  </si>
  <si>
    <t>Apps must get the same key later to decrypt notes they encrypted earlier; a different key would make the data unreadable.</t>
  </si>
  <si>
    <t xml:space="preserve">1. Create a new encryption key
2. Read it using its key ID
3. Compare the reply with the create reply</t>
  </si>
  <si>
    <t>200 OK; Cache-Control: no-store; tenant, key ID, status ACTIVE, algorithm AES-256-GCM, creation time and key value all match the created key.</t>
  </si>
  <si>
    <t>PII-FT-005</t>
  </si>
  <si>
    <r>
      <rPr>
        <b/>
        <color rgb="FF0F172A"/>
      </rPr>
      <t>A different caller cannot read or revoke the key (404), and the key stays active</t>
    </r>
    <r>
      <rPr>
        <color rgb="FF334155"/>
      </rPr>
      <t xml:space="preserve">
Has a second registered app (caller) try to read and revoke an encryption key created by our app.</t>
    </r>
  </si>
  <si>
    <t>A key belongs only to the app that created it; another app reading it could decrypt our users’ notes, and revoking it would break our app.</t>
  </si>
  <si>
    <t xml:space="preserve">1. Create a key as the main caller
2. As the second caller, try to read it
3. As the second caller, try to revoke it
4. As the main caller, read it again</t>
  </si>
  <si>
    <t>Both attempts by the second caller return 404 FREE_TEXT_KEY_NOT_FOUND; the owner can still read the key (200 OK).</t>
  </si>
  <si>
    <t>PII-FT-006</t>
  </si>
  <si>
    <r>
      <rPr>
        <b/>
        <color rgb="FF0F172A"/>
      </rPr>
      <t>The key cannot be read or revoked through a different tenant (404)</t>
    </r>
    <r>
      <rPr>
        <color rgb="FF334155"/>
      </rPr>
      <t xml:space="preserve">
Tries to read and revoke an encryption key using a different tenant (customer organisation) than the one it was created in.</t>
    </r>
  </si>
  <si>
    <t>Keys from one tenant must never be reachable or changeable from another tenant.</t>
  </si>
  <si>
    <t xml:space="preserve">1. Create a key in our tenant
2. Try to read it with the second tenant
3. Try to revoke it with the second tenant</t>
  </si>
  <si>
    <t>Both requests return 404 FREE_TEXT_KEY_NOT_FOUND.</t>
  </si>
  <si>
    <t>PII-FT-007</t>
  </si>
  <si>
    <r>
      <rPr>
        <b/>
        <color rgb="FF0F172A"/>
      </rPr>
      <t>Unknown key ID returns 404; a badly formed key ID or missing tenant returns 422</t>
    </r>
    <r>
      <rPr>
        <color rgb="FF334155"/>
      </rPr>
      <t xml:space="preserve">
Reads a key with a random ID that does not exist, reads with an ID that is not a valid UUID (the standard ID format), and creates a key without a tenant.</t>
    </r>
  </si>
  <si>
    <t xml:space="preserve">1. Read a random, never-created key ID
2. Read with the key ID "not-a-uuid"
3. Send a create-key request with no tenant</t>
  </si>
  <si>
    <t>Unknown ID returns 404 FREE_TEXT_KEY_NOT_FOUND; the bad ID and the missing tenant each return 422 with a validation error body.</t>
  </si>
  <si>
    <t>11.  Revoke encryption key     POST /api/v1/free-text/keys/revoke        2 test cases  ·  ✔ 0  ·  ✘ 0  ·  — 2</t>
  </si>
  <si>
    <t>What this endpoint does: Revoke a caller-owned key.</t>
  </si>
  <si>
    <t>PII-FT-003</t>
  </si>
  <si>
    <r>
      <rPr>
        <b/>
        <color rgb="FF0F172A"/>
      </rPr>
      <t>Revoking a key marks it REVOKED with a time, and it can no longer be read</t>
    </r>
    <r>
      <rPr>
        <color rgb="FF334155"/>
      </rPr>
      <t xml:space="preserve">
Revokes (permanently switches off) an encryption key and then tries to read it.</t>
    </r>
  </si>
  <si>
    <t>If a key is compromised, revoking it must stop anyone from getting it again.</t>
  </si>
  <si>
    <t xml:space="preserve">1. Create a new encryption key
2. Revoke it
3. Try to read it</t>
  </si>
  <si>
    <t>Revoke returns 200 OK with status REVOKED and a revoke time not earlier than the creation time; the read returns 404 FREE_TEXT_KEY_NOT_FOUND.</t>
  </si>
  <si>
    <t>PII-FT-004</t>
  </si>
  <si>
    <r>
      <rPr>
        <b/>
        <color rgb="FF0F172A"/>
      </rPr>
      <t>Revoking a key that is already revoked returns 404</t>
    </r>
    <r>
      <rPr>
        <color rgb="FF334155"/>
      </rPr>
      <t xml:space="preserve">
Revokes an encryption key, then tries to revoke the same key a second time.</t>
    </r>
  </si>
  <si>
    <t>A revoked key must stay revoked and be treated as gone; a second revoke must not bring it back or pretend it still exists.</t>
  </si>
  <si>
    <t xml:space="preserve">1. Create a new encryption key
2. Revoke it
3. Send a second revoke for the same key</t>
  </si>
  <si>
    <t>The first revoke returns 200 OK; the second returns 404 FREE_TEXT_KEY_NOT_FOUND.</t>
  </si>
  <si>
    <t>12.  Across endpoints     several endpoints        9 test cases  ·  ✔ 0  ·  ✘ 0  ·  — 9</t>
  </si>
  <si>
    <t>What this endpoint does: Checks that span several or all endpoints.</t>
  </si>
  <si>
    <t>PII-AUTH-020</t>
  </si>
  <si>
    <r>
      <rPr>
        <b/>
        <color rgb="FF0F172A"/>
      </rPr>
      <t>Every /api/v1 endpoint rejects an unsigned request (401)</t>
    </r>
    <r>
      <rPr>
        <color rgb="FF334155"/>
      </rPr>
      <t xml:space="preserve">
Sends an unsigned request (no security headers) to every other /api/v1 endpoint: read, batch read, search, temporary phone create/resolve/promote, and free-text key create/read/revoke.</t>
    </r>
  </si>
  <si>
    <t>One unprotected endpoint would be enough for an attacker to read or change personal data without being a registered app.</t>
  </si>
  <si>
    <t xml:space="preserve">1. Prepare a simple body for each endpoint
2. Send each one without any security headers
3. Check each response</t>
  </si>
  <si>
    <t>Every endpoint returns 401 Unauthorized with a documented authentication error code.</t>
  </si>
  <si>
    <t>PII-AZ-011</t>
  </si>
  <si>
    <r>
      <rPr>
        <b/>
        <color rgb="FF0F172A"/>
      </rPr>
      <t>Caller without encryption-key permission cannot create, read or revoke keys (403)</t>
    </r>
    <r>
      <rPr>
        <color rgb="FF334155"/>
      </rPr>
      <t xml:space="preserve">
With the limited caller, tries to create, read and revoke (switch off) a free-text encryption key (a secret key used to encrypt free text).</t>
    </r>
  </si>
  <si>
    <t>If an unpermitted app could read or revoke keys, it could decrypt data or break other apps by disabling their keys.</t>
  </si>
  <si>
    <t xml:space="preserve">1. As the limited caller, create a key and check the reply
2. As the full-permission caller, create a key
3. As the limited caller, read that key and check the reply
4. As the limited caller, revoke that key and check the reply</t>
  </si>
  <si>
    <t>All three attempts return 403 Forbidden with the authorization-denied error code.</t>
  </si>
  <si>
    <t>PII-CON-001</t>
  </si>
  <si>
    <r>
      <rPr>
        <b/>
        <color rgb="FF0F172A"/>
      </rPr>
      <t>The API description (OpenAPI) is available and lists every documented endpoint</t>
    </r>
    <r>
      <rPr>
        <color rgb="FF334155"/>
      </rPr>
      <t xml:space="preserve">
Downloads the service’s machine-readable API description (OpenAPI — a file listing every address the service offers) and checks every endpoint in our documentation is in it.</t>
    </r>
  </si>
  <si>
    <t>If a documented endpoint is missing, the service and its documentation have drifted apart and callers built from the documentation would break.</t>
  </si>
  <si>
    <t xml:space="preserve">1. Request the OpenAPI description from the service
2. Compare its list of endpoints with the endpoints in our documentation
3. List any documented endpoint that is missing</t>
  </si>
  <si>
    <t>200 OK; every documented endpoint (method and path) appears in the OpenAPI description, so the missing list is empty.</t>
  </si>
  <si>
    <t>Contract</t>
  </si>
  <si>
    <t>Needs the OpenAPI description to be exposed; if the service answers 404, the test waits on Dev question Q-24 and shows as Not Tested.</t>
  </si>
  <si>
    <t>PII-CON-002</t>
  </si>
  <si>
    <r>
      <rPr>
        <b/>
        <color rgb="FF0F172A"/>
      </rPr>
      <t>The API description has no extra, undocumented endpoints</t>
    </r>
    <r>
      <rPr>
        <color rgb="FF334155"/>
      </rPr>
      <t xml:space="preserve">
Checks the OpenAPI description does not list any /api/v1 endpoint that is missing from our documentation.</t>
    </r>
  </si>
  <si>
    <t>An undocumented endpoint is untested and may expose personal data in ways nobody has reviewed.</t>
  </si>
  <si>
    <t xml:space="preserve">1. Request the OpenAPI description from the service
2. Collect every /api/v1 endpoint (method and path) it lists
3. List any that are not in our documentation</t>
  </si>
  <si>
    <t>No extra /api/v1 endpoints: the list of undocumented operations is empty.</t>
  </si>
  <si>
    <t>PII-CON-003</t>
  </si>
  <si>
    <r>
      <rPr>
        <b/>
        <color rgb="FF0F172A"/>
      </rPr>
      <t>Save, read, search and bulk-read responses contain exactly the documented fields</t>
    </r>
    <r>
      <rPr>
        <color rgb="FF334155"/>
      </rPr>
      <t xml:space="preserve">
Saves a fake test email, then reads it, searches for it (with and without values) and bulk-reads it, checking each reply contains exactly the documented fields — nothing missing, nothing extra.</t>
    </r>
  </si>
  <si>
    <t>An extra field in a personal-data reply could leak information, and a missing one breaks callers; either is treated as a failure.</t>
  </si>
  <si>
    <t xml:space="preserve">1. Save a fake test email for a fake test user
2. Read it back, then search for it by value (IDs only, then with values)
3. Bulk-read it for that user
4. Compare the fields of every reply with the documentation</t>
  </si>
  <si>
    <t>Save 201, read/search/bulk-read 200; the outer reply, the data, each item and each search match contain exactly the documented fields (an IDs-only search match holds only user_id).</t>
  </si>
  <si>
    <t>PII-CON-004</t>
  </si>
  <si>
    <r>
      <rPr>
        <b/>
        <color rgb="FF0F172A"/>
      </rPr>
      <t>Temporary-phone responses contain exactly the documented fields</t>
    </r>
    <r>
      <rPr>
        <color rgb="FF334155"/>
      </rPr>
      <t xml:space="preserve">
Creates a temporary phone record (a short-lived phone entry not yet linked to a user), looks it up, then links it to a fake test user, checking each reply has exactly the documented fields.</t>
    </r>
  </si>
  <si>
    <t>Phone numbers are personal data; extra fields could leak them and missing fields break the callers that use temporary phones.</t>
  </si>
  <si>
    <t xml:space="preserve">1. Create a temporary phone record with an approved fake test phone number and the shortest allowed lifetime
2. Look up the temporary phone by its ID
3. Promote (link) it to a fake test user
4. Compare the fields of each reply with the documentation</t>
  </si>
  <si>
    <t>Create succeeds; look-up and promote return 200; each reply’s data contains exactly the documented fields.</t>
  </si>
  <si>
    <t>Needs approved test phone numbers.</t>
  </si>
  <si>
    <t>PII-CON-005</t>
  </si>
  <si>
    <r>
      <rPr>
        <b/>
        <color rgb="FF0F172A"/>
      </rPr>
      <t>Encryption-key responses and error responses contain exactly the documented fields</t>
    </r>
    <r>
      <rPr>
        <color rgb="FF334155"/>
      </rPr>
      <t xml:space="preserve">
Creates, reads and revokes an encryption key for free text, then reads it again, checking every reply — including the error — has exactly the documented fields.</t>
    </r>
  </si>
  <si>
    <t>Key replies must not expose anything undocumented, and error replies must keep one fixed shape so callers can handle them.</t>
  </si>
  <si>
    <t xml:space="preserve">1. Create a new encryption key for the test tenant
2. Read the key, then revoke it
3. Read the revoked key again
4. Compare the fields of each reply with the documentation</t>
  </si>
  <si>
    <t>Read and revoke return 200 with exactly the documented fields; the final read returns 404 with exactly the documented outer fields and an error object holding only "code" and "message".</t>
  </si>
  <si>
    <t>PII-SEC-003</t>
  </si>
  <si>
    <r>
      <rPr>
        <b/>
        <color rgb="FF0F172A"/>
      </rPr>
      <t>The development-only signing helper (/docs/signature) is switched off</t>
    </r>
    <r>
      <rPr>
        <color rgb="FF334155"/>
      </rPr>
      <t xml:space="preserve">
Calls the development-only signing helper page (/docs/signature, a tool that signs requests for you) and checks it is not usable.</t>
    </r>
  </si>
  <si>
    <t>If this helper were left on outside development, anyone could use it to create valid signed requests and bypass caller authentication.</t>
  </si>
  <si>
    <t xml:space="preserve">1. Call the /docs/signature helper
2. Check the reply status</t>
  </si>
  <si>
    <t>The reply is not a success (not a 2xx status).</t>
  </si>
  <si>
    <t>Waiting on Dev question Q-23 (confirmation that this environment must have the helper switched off) — shows as Not Tested until answered</t>
  </si>
  <si>
    <t>PII-SEC-004</t>
  </si>
  <si>
    <r>
      <rPr>
        <b/>
        <color rgb="FF0F172A"/>
      </rPr>
      <t>A full flow across many endpoints leaves no personal data, keys or signatures in the logs</t>
    </r>
    <r>
      <rPr>
        <color rgb="FF334155"/>
      </rPr>
      <t xml:space="preserve">
Runs a full flow (save, read, search, temporary phone, encryption key) and then scans the test framework’s API call log for personal data and secrets.</t>
    </r>
  </si>
  <si>
    <t>Logs are widely readable; if personal data, keys or signatures ended up there, they could leak to anyone with log access.</t>
  </si>
  <si>
    <t xml:space="preserve">1. Save a fake email and name for a fake user, then read and search them
2. Create and look up a temporary phone record
3. Create a free-text encryption key
4. Scan every line of the API call log</t>
  </si>
  <si>
    <t>At least 7 log lines exist; none contains the email, phone number, name or key value, and none contains a request-signature-shaped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</si>
</sst>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8"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4B5563"/>
    </font>
    <font>
      <u/>
      <color rgb="FF1D4ED8"/>
    </font>
    <font>
      <b/>
      <color rgb="FFFFFFFF"/>
      <sz val="13"/>
    </font>
    <font>
      <b/>
      <u/>
      <color rgb="FFFFFFFF"/>
    </font>
    <font>
      <i/>
      <color rgb="FF1E3A8A"/>
      <sz val="10"/>
    </font>
    <font>
      <b/>
      <sz val="10"/>
      <name val="Menlo"/>
    </font>
    <font>
      <color rgb="FF334155"/>
    </font>
    <font>
      <b/>
      <color rgb="FF6D28D9"/>
    </font>
    <font>
      <b/>
      <color rgb="FFC2410C"/>
    </font>
    <font>
      <b/>
      <color rgb="FF4B5563"/>
    </font>
    <font>
      <i/>
      <color rgb="FF64748B"/>
    </font>
    <font>
      <color rgb="FF64748B"/>
    </font>
    <font>
      <color rgb="FF1D4ED8"/>
    </font>
    <font>
      <b/>
      <color rgb="FFB91C1C"/>
    </font>
    <font>
      <color rgb="FF6B7280"/>
    </font>
  </fonts>
  <fills count="11">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5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7" fillId="8" borderId="0" xfId="0" applyFont="1" applyFill="1" applyAlignment="1">
      <alignment horizontal="left" vertical="center" inden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10" fillId="0" borderId="1" xfId="0" applyFont="1" applyBorder="1" applyAlignment="1">
      <alignment horizontal="center" vertical="center"/>
    </xf>
    <xf numFmtId="0" fontId="11" fillId="0" borderId="1" xfId="0" applyFont="1"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0" fillId="10" borderId="1" xfId="0" applyFill="1" applyBorder="1" applyAlignment="1">
      <alignment horizontal="center" vertical="center"/>
    </xf>
    <xf numFmtId="0" fontId="9" fillId="10" borderId="1" xfId="0" applyFont="1" applyFill="1" applyBorder="1" applyAlignment="1">
      <alignment horizontal="center" vertical="center"/>
    </xf>
    <xf numFmtId="0" fontId="10" fillId="10" borderId="1" xfId="0" applyFont="1" applyFill="1" applyBorder="1" applyAlignment="1">
      <alignment horizontal="center" vertical="center"/>
    </xf>
    <xf numFmtId="0" fontId="11" fillId="10" borderId="1" xfId="0" applyFont="1" applyFill="1" applyBorder="1" applyAlignment="1">
      <alignment horizontal="center" vertical="center"/>
    </xf>
    <xf numFmtId="0" fontId="12" fillId="10" borderId="1" xfId="0" applyFont="1" applyFill="1" applyBorder="1" applyAlignment="1">
      <alignment horizontal="center" vertical="center"/>
    </xf>
    <xf numFmtId="0" fontId="13" fillId="10" borderId="1" xfId="0" applyFont="1" applyFill="1" applyBorder="1" applyAlignment="1">
      <alignment horizontal="center" vertical="center"/>
    </xf>
    <xf numFmtId="0" fontId="14" fillId="10" borderId="1" xfId="0" applyFont="1" applyFill="1" applyBorder="1" applyAlignment="1">
      <alignment horizontal="center" vertical="center"/>
    </xf>
    <xf numFmtId="0" fontId="15" fillId="8" borderId="0" xfId="0" applyFont="1" applyFill="1" applyAlignment="1">
      <alignment vertical="center" indent="1"/>
    </xf>
    <xf numFmtId="0" fontId="16" fillId="8" borderId="0" xfId="0" applyFont="1" applyFill="1" applyAlignment="1">
      <alignment horizontal="center" vertical="center"/>
    </xf>
    <xf numFmtId="0" fontId="17" fillId="4" borderId="0" xfId="0" applyFont="1" applyFill="1" applyAlignment="1">
      <alignment horizontal="left" vertical="center" indent="1"/>
    </xf>
    <xf numFmtId="0" fontId="8" fillId="9" borderId="1" xfId="0" applyFont="1" applyFill="1" applyBorder="1" applyAlignment="1">
      <alignment horizontal="center" vertical="center" wrapText="1"/>
    </xf>
    <xf numFmtId="0" fontId="0" fillId="0" borderId="1" xfId="0" applyBorder="1" applyAlignment="1">
      <alignment horizontal="center" vertical="top" wrapText="1"/>
    </xf>
    <xf numFmtId="0" fontId="18" fillId="0" borderId="1" xfId="0" applyFont="1" applyBorder="1" applyAlignment="1">
      <alignment horizontal="left" vertical="top" wrapText="1"/>
    </xf>
    <xf numFmtId="0" fontId="0" fillId="0" borderId="1" xfId="0" applyBorder="1" applyAlignment="1">
      <alignment horizontal="left" vertical="top" wrapText="1"/>
    </xf>
    <xf numFmtId="0" fontId="19" fillId="0" borderId="1" xfId="0" applyFont="1" applyBorder="1" applyAlignment="1">
      <alignment horizontal="left" vertical="top" wrapText="1"/>
    </xf>
    <xf numFmtId="0" fontId="20" fillId="0" borderId="1" xfId="0" applyFont="1" applyBorder="1" applyAlignment="1">
      <alignment horizontal="center" vertical="top" wrapText="1"/>
    </xf>
    <xf numFmtId="0" fontId="21" fillId="0" borderId="1" xfId="0" applyFont="1" applyBorder="1" applyAlignment="1">
      <alignment horizontal="center" vertical="top" wrapText="1"/>
    </xf>
    <xf numFmtId="0" fontId="22" fillId="7" borderId="1" xfId="0" applyFont="1" applyFill="1" applyBorder="1" applyAlignment="1">
      <alignment horizontal="center" vertical="top" wrapText="1"/>
    </xf>
    <xf numFmtId="0" fontId="23" fillId="0" borderId="1" xfId="0" applyFont="1" applyBorder="1" applyAlignment="1">
      <alignment horizontal="left" vertical="top" wrapText="1"/>
    </xf>
    <xf numFmtId="0" fontId="0" fillId="10" borderId="1" xfId="0" applyFill="1" applyBorder="1" applyAlignment="1">
      <alignment horizontal="center" vertical="top" wrapText="1"/>
    </xf>
    <xf numFmtId="0" fontId="18" fillId="10" borderId="1" xfId="0" applyFont="1" applyFill="1" applyBorder="1" applyAlignment="1">
      <alignment horizontal="left" vertical="top" wrapText="1"/>
    </xf>
    <xf numFmtId="0" fontId="0" fillId="10" borderId="1" xfId="0" applyFill="1" applyBorder="1" applyAlignment="1">
      <alignment horizontal="left" vertical="top" wrapText="1"/>
    </xf>
    <xf numFmtId="0" fontId="19" fillId="10" borderId="1" xfId="0" applyFont="1" applyFill="1" applyBorder="1" applyAlignment="1">
      <alignment horizontal="left" vertical="top" wrapText="1"/>
    </xf>
    <xf numFmtId="0" fontId="24" fillId="10" borderId="1" xfId="0" applyFont="1" applyFill="1" applyBorder="1" applyAlignment="1">
      <alignment horizontal="center" vertical="top" wrapText="1"/>
    </xf>
    <xf numFmtId="0" fontId="25" fillId="10" borderId="1" xfId="0" applyFont="1" applyFill="1" applyBorder="1" applyAlignment="1">
      <alignment horizontal="center" vertical="top" wrapText="1"/>
    </xf>
    <xf numFmtId="0" fontId="23" fillId="10" borderId="1" xfId="0" applyFont="1" applyFill="1" applyBorder="1" applyAlignment="1">
      <alignment horizontal="left" vertical="top" wrapText="1"/>
    </xf>
    <xf numFmtId="0" fontId="26" fillId="10" borderId="1" xfId="0" applyFont="1" applyFill="1" applyBorder="1" applyAlignment="1">
      <alignment horizontal="center" vertical="top" wrapText="1"/>
    </xf>
    <xf numFmtId="0" fontId="24" fillId="0" borderId="1" xfId="0" applyFont="1" applyBorder="1" applyAlignment="1">
      <alignment horizontal="center" vertical="top" wrapText="1"/>
    </xf>
    <xf numFmtId="0" fontId="26" fillId="0" borderId="1" xfId="0" applyFont="1" applyBorder="1" applyAlignment="1">
      <alignment horizontal="center" vertical="top" wrapText="1"/>
    </xf>
    <xf numFmtId="0" fontId="21" fillId="10" borderId="1" xfId="0" applyFont="1" applyFill="1" applyBorder="1" applyAlignment="1">
      <alignment horizontal="center" vertical="top" wrapText="1"/>
    </xf>
    <xf numFmtId="0" fontId="25" fillId="0" borderId="1" xfId="0" applyFont="1" applyBorder="1" applyAlignment="1">
      <alignment horizontal="center" vertical="top" wrapText="1"/>
    </xf>
    <xf numFmtId="0" fontId="27" fillId="10" borderId="1" xfId="0" applyFont="1" applyFill="1" applyBorder="1" applyAlignment="1">
      <alignment horizontal="center" vertical="top" wrapText="1"/>
    </xf>
    <xf numFmtId="0" fontId="20" fillId="10" borderId="1" xfId="0" applyFont="1" applyFill="1" applyBorder="1" applyAlignment="1">
      <alignment horizontal="center" vertical="top" wrapText="1"/>
    </xf>
    <xf numFmtId="0" fontId="27"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200"/>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4" customWidth="1"/>
    <col min="3" max="3" width="46" customWidth="1"/>
    <col min="4" max="4" width="38" customWidth="1"/>
    <col min="5" max="5" width="44" customWidth="1"/>
    <col min="6" max="6" width="40" customWidth="1"/>
    <col min="7" max="7" width="11" customWidth="1"/>
    <col min="8" max="8" width="12" customWidth="1"/>
    <col min="9" max="9" width="10" customWidth="1"/>
    <col min="10" max="10" width="28" customWidth="1"/>
    <col min="11" max="11" width="14" customWidth="1"/>
    <col min="12" max="12" width="32" customWidth="1"/>
    <col min="13" max="13" width="26" customWidth="1"/>
  </cols>
  <sheetData>
    <row r="1" ht="34" customHeight="1" spans="1:13" x14ac:dyDescent="0.25">
      <c r="A1" s="1" t="s">
        <v>0</v>
      </c>
      <c r="B1" s="1"/>
      <c r="C1" s="1"/>
      <c r="D1" s="1"/>
      <c r="E1" s="1"/>
      <c r="F1" s="1"/>
      <c r="G1" s="1"/>
      <c r="H1" s="1"/>
      <c r="I1" s="1"/>
      <c r="J1" s="1"/>
      <c r="K1" s="1"/>
      <c r="L1" s="1"/>
      <c r="M1" s="1"/>
    </row>
    <row r="2" ht="22" customHeight="1" spans="1:13" x14ac:dyDescent="0.25">
      <c r="A2" s="2" t="s">
        <v>1</v>
      </c>
      <c r="B2" s="2"/>
      <c r="C2" s="2"/>
      <c r="D2" s="2"/>
      <c r="E2" s="2"/>
      <c r="F2" s="2"/>
      <c r="G2" s="2"/>
      <c r="H2" s="2"/>
      <c r="I2" s="2"/>
      <c r="J2" s="2"/>
      <c r="K2" s="2"/>
      <c r="L2" s="2"/>
      <c r="M2" s="2"/>
    </row>
    <row r="3" ht="26" customHeight="1" spans="1:13" x14ac:dyDescent="0.25">
      <c r="A3" s="3" t="s">
        <v>2</v>
      </c>
      <c r="B3" s="3"/>
      <c r="C3" s="3"/>
      <c r="D3" s="4" t="s">
        <v>3</v>
      </c>
      <c r="E3" s="4"/>
      <c r="F3" s="5" t="s">
        <v>4</v>
      </c>
      <c r="G3" s="5"/>
      <c r="H3" s="6" t="s">
        <v>5</v>
      </c>
      <c r="I3" s="6"/>
      <c r="J3" s="6"/>
      <c r="K3" s="3" t="s">
        <v>6</v>
      </c>
      <c r="L3" s="3"/>
      <c r="M3" s="3"/>
    </row>
    <row r="5" ht="24" customHeight="1" spans="1:13" x14ac:dyDescent="0.25">
      <c r="A5" s="7" t="s">
        <v>7</v>
      </c>
      <c r="B5" s="7"/>
      <c r="C5" s="7"/>
      <c r="D5" s="7"/>
      <c r="E5" s="7"/>
      <c r="F5" s="7"/>
      <c r="G5" s="7"/>
      <c r="H5" s="7"/>
      <c r="I5" s="7"/>
      <c r="J5" s="7"/>
      <c r="K5" s="7"/>
      <c r="L5" s="7"/>
      <c r="M5" s="7"/>
    </row>
    <row r="6" ht="22" customHeight="1" spans="1:13" x14ac:dyDescent="0.25">
      <c r="A6" s="8" t="s">
        <v>8</v>
      </c>
      <c r="B6" s="8" t="s">
        <v>9</v>
      </c>
      <c r="C6" s="8"/>
      <c r="D6" s="8" t="s">
        <v>10</v>
      </c>
      <c r="E6" s="8"/>
      <c r="F6" s="8" t="s">
        <v>11</v>
      </c>
      <c r="G6" s="8" t="s">
        <v>12</v>
      </c>
      <c r="H6" s="8" t="s">
        <v>13</v>
      </c>
      <c r="I6" s="8" t="s">
        <v>14</v>
      </c>
      <c r="J6" s="8" t="s">
        <v>15</v>
      </c>
      <c r="K6" s="8" t="s">
        <v>16</v>
      </c>
      <c r="L6" s="8"/>
      <c r="M6" s="8"/>
    </row>
    <row r="7" ht="20" customHeight="1" spans="1:13" x14ac:dyDescent="0.25">
      <c r="A7" s="9">
        <v>1</v>
      </c>
      <c r="B7" s="10" t="str">
        <f>HYPERLINK("#'Test Cases'!A21","Health check")</f>
        <v>Health check</v>
      </c>
      <c r="C7" s="10"/>
      <c r="D7" s="11" t="s">
        <v>17</v>
      </c>
      <c r="E7" s="11"/>
      <c r="F7" s="9">
        <v>2</v>
      </c>
      <c r="G7" s="12">
        <v>0</v>
      </c>
      <c r="H7" s="13">
        <v>0</v>
      </c>
      <c r="I7" s="14">
        <v>2</v>
      </c>
      <c r="J7" s="9" t="s">
        <v>18</v>
      </c>
      <c r="K7" s="15" t="str">
        <f>HYPERLINK("#'Test Cases'!A21","Go to section 1 →")</f>
        <v>Go to section 1 →</v>
      </c>
      <c r="L7" s="15"/>
      <c r="M7" s="15"/>
    </row>
    <row r="8" ht="20" customHeight="1" spans="1:13" x14ac:dyDescent="0.25">
      <c r="A8" s="16">
        <v>2</v>
      </c>
      <c r="B8" s="17" t="str">
        <f>HYPERLINK("#'Test Cases'!A27","Save PII")</f>
        <v>Save PII</v>
      </c>
      <c r="C8" s="17"/>
      <c r="D8" s="18" t="s">
        <v>19</v>
      </c>
      <c r="E8" s="18"/>
      <c r="F8" s="16">
        <v>55</v>
      </c>
      <c r="G8" s="19">
        <v>0</v>
      </c>
      <c r="H8" s="20">
        <v>0</v>
      </c>
      <c r="I8" s="21">
        <v>55</v>
      </c>
      <c r="J8" s="16" t="s">
        <v>18</v>
      </c>
      <c r="K8" s="22" t="str">
        <f>HYPERLINK("#'Test Cases'!A27","Go to section 2 →")</f>
        <v>Go to section 2 →</v>
      </c>
      <c r="L8" s="22"/>
      <c r="M8" s="22"/>
    </row>
    <row r="9" ht="20" customHeight="1" spans="1:13" x14ac:dyDescent="0.25">
      <c r="A9" s="9">
        <v>3</v>
      </c>
      <c r="B9" s="10" t="str">
        <f>HYPERLINK("#'Test Cases'!A86","Read PII")</f>
        <v>Read PII</v>
      </c>
      <c r="C9" s="10"/>
      <c r="D9" s="11" t="s">
        <v>20</v>
      </c>
      <c r="E9" s="11"/>
      <c r="F9" s="9">
        <v>15</v>
      </c>
      <c r="G9" s="12">
        <v>0</v>
      </c>
      <c r="H9" s="13">
        <v>0</v>
      </c>
      <c r="I9" s="14">
        <v>15</v>
      </c>
      <c r="J9" s="9" t="s">
        <v>18</v>
      </c>
      <c r="K9" s="15" t="str">
        <f>HYPERLINK("#'Test Cases'!A86","Go to section 3 →")</f>
        <v>Go to section 3 →</v>
      </c>
      <c r="L9" s="15"/>
      <c r="M9" s="15"/>
    </row>
    <row r="10" ht="20" customHeight="1" spans="1:13" x14ac:dyDescent="0.25">
      <c r="A10" s="16">
        <v>4</v>
      </c>
      <c r="B10" s="17" t="str">
        <f>HYPERLINK("#'Test Cases'!A105","Search PII")</f>
        <v>Search PII</v>
      </c>
      <c r="C10" s="17"/>
      <c r="D10" s="18" t="s">
        <v>21</v>
      </c>
      <c r="E10" s="18"/>
      <c r="F10" s="16">
        <v>16</v>
      </c>
      <c r="G10" s="19">
        <v>0</v>
      </c>
      <c r="H10" s="20">
        <v>0</v>
      </c>
      <c r="I10" s="21">
        <v>16</v>
      </c>
      <c r="J10" s="16" t="s">
        <v>18</v>
      </c>
      <c r="K10" s="22" t="str">
        <f>HYPERLINK("#'Test Cases'!A105","Go to section 4 →")</f>
        <v>Go to section 4 →</v>
      </c>
      <c r="L10" s="22"/>
      <c r="M10" s="22"/>
    </row>
    <row r="11" ht="20" customHeight="1" spans="1:13" x14ac:dyDescent="0.25">
      <c r="A11" s="9">
        <v>5</v>
      </c>
      <c r="B11" s="10" t="str">
        <f>HYPERLINK("#'Test Cases'!A125","Bulk read PII")</f>
        <v>Bulk read PII</v>
      </c>
      <c r="C11" s="10"/>
      <c r="D11" s="11" t="s">
        <v>22</v>
      </c>
      <c r="E11" s="11"/>
      <c r="F11" s="9">
        <v>10</v>
      </c>
      <c r="G11" s="12">
        <v>0</v>
      </c>
      <c r="H11" s="13">
        <v>0</v>
      </c>
      <c r="I11" s="14">
        <v>10</v>
      </c>
      <c r="J11" s="9" t="s">
        <v>18</v>
      </c>
      <c r="K11" s="15" t="str">
        <f>HYPERLINK("#'Test Cases'!A125","Go to section 5 →")</f>
        <v>Go to section 5 →</v>
      </c>
      <c r="L11" s="15"/>
      <c r="M11" s="15"/>
    </row>
    <row r="12" ht="20" customHeight="1" spans="1:13" x14ac:dyDescent="0.25">
      <c r="A12" s="16">
        <v>6</v>
      </c>
      <c r="B12" s="17" t="str">
        <f>HYPERLINK("#'Test Cases'!A139","Create temporary phone")</f>
        <v>Create temporary phone</v>
      </c>
      <c r="C12" s="17"/>
      <c r="D12" s="18" t="s">
        <v>23</v>
      </c>
      <c r="E12" s="18"/>
      <c r="F12" s="16">
        <v>7</v>
      </c>
      <c r="G12" s="19">
        <v>0</v>
      </c>
      <c r="H12" s="20">
        <v>0</v>
      </c>
      <c r="I12" s="21">
        <v>7</v>
      </c>
      <c r="J12" s="16" t="s">
        <v>18</v>
      </c>
      <c r="K12" s="22" t="str">
        <f>HYPERLINK("#'Test Cases'!A139","Go to section 6 →")</f>
        <v>Go to section 6 →</v>
      </c>
      <c r="L12" s="22"/>
      <c r="M12" s="22"/>
    </row>
    <row r="13" ht="20" customHeight="1" spans="1:13" x14ac:dyDescent="0.25">
      <c r="A13" s="9">
        <v>7</v>
      </c>
      <c r="B13" s="10" t="str">
        <f>HYPERLINK("#'Test Cases'!A150","Look up temporary phone")</f>
        <v>Look up temporary phone</v>
      </c>
      <c r="C13" s="10"/>
      <c r="D13" s="11" t="s">
        <v>24</v>
      </c>
      <c r="E13" s="11"/>
      <c r="F13" s="9">
        <v>6</v>
      </c>
      <c r="G13" s="12">
        <v>0</v>
      </c>
      <c r="H13" s="13">
        <v>0</v>
      </c>
      <c r="I13" s="14">
        <v>6</v>
      </c>
      <c r="J13" s="9" t="s">
        <v>18</v>
      </c>
      <c r="K13" s="15" t="str">
        <f>HYPERLINK("#'Test Cases'!A150","Go to section 7 →")</f>
        <v>Go to section 7 →</v>
      </c>
      <c r="L13" s="15"/>
      <c r="M13" s="15"/>
    </row>
    <row r="14" ht="20" customHeight="1" spans="1:13" x14ac:dyDescent="0.25">
      <c r="A14" s="16">
        <v>8</v>
      </c>
      <c r="B14" s="17" t="str">
        <f>HYPERLINK("#'Test Cases'!A160","Promote temporary phone")</f>
        <v>Promote temporary phone</v>
      </c>
      <c r="C14" s="17"/>
      <c r="D14" s="18" t="s">
        <v>25</v>
      </c>
      <c r="E14" s="18"/>
      <c r="F14" s="16">
        <v>2</v>
      </c>
      <c r="G14" s="19">
        <v>0</v>
      </c>
      <c r="H14" s="20">
        <v>0</v>
      </c>
      <c r="I14" s="21">
        <v>2</v>
      </c>
      <c r="J14" s="16" t="s">
        <v>18</v>
      </c>
      <c r="K14" s="22" t="str">
        <f>HYPERLINK("#'Test Cases'!A160","Go to section 8 →")</f>
        <v>Go to section 8 →</v>
      </c>
      <c r="L14" s="22"/>
      <c r="M14" s="22"/>
    </row>
    <row r="15" ht="20" customHeight="1" spans="1:13" x14ac:dyDescent="0.25">
      <c r="A15" s="9">
        <v>9</v>
      </c>
      <c r="B15" s="10" t="str">
        <f>HYPERLINK("#'Test Cases'!A166","Create encryption key")</f>
        <v>Create encryption key</v>
      </c>
      <c r="C15" s="10"/>
      <c r="D15" s="11" t="s">
        <v>26</v>
      </c>
      <c r="E15" s="11"/>
      <c r="F15" s="9">
        <v>5</v>
      </c>
      <c r="G15" s="12">
        <v>0</v>
      </c>
      <c r="H15" s="13">
        <v>0</v>
      </c>
      <c r="I15" s="14">
        <v>5</v>
      </c>
      <c r="J15" s="9" t="s">
        <v>18</v>
      </c>
      <c r="K15" s="15" t="str">
        <f>HYPERLINK("#'Test Cases'!A166","Go to section 9 →")</f>
        <v>Go to section 9 →</v>
      </c>
      <c r="L15" s="15"/>
      <c r="M15" s="15"/>
    </row>
    <row r="16" ht="20" customHeight="1" spans="1:13" x14ac:dyDescent="0.25">
      <c r="A16" s="16">
        <v>10</v>
      </c>
      <c r="B16" s="17" t="str">
        <f>HYPERLINK("#'Test Cases'!A175","Read encryption key")</f>
        <v>Read encryption key</v>
      </c>
      <c r="C16" s="17"/>
      <c r="D16" s="18" t="s">
        <v>27</v>
      </c>
      <c r="E16" s="18"/>
      <c r="F16" s="16">
        <v>4</v>
      </c>
      <c r="G16" s="19">
        <v>0</v>
      </c>
      <c r="H16" s="20">
        <v>0</v>
      </c>
      <c r="I16" s="21">
        <v>4</v>
      </c>
      <c r="J16" s="16" t="s">
        <v>18</v>
      </c>
      <c r="K16" s="22" t="str">
        <f>HYPERLINK("#'Test Cases'!A175","Go to section 10 →")</f>
        <v>Go to section 10 →</v>
      </c>
      <c r="L16" s="22"/>
      <c r="M16" s="22"/>
    </row>
    <row r="17" ht="20" customHeight="1" spans="1:13" x14ac:dyDescent="0.25">
      <c r="A17" s="9">
        <v>11</v>
      </c>
      <c r="B17" s="10" t="str">
        <f>HYPERLINK("#'Test Cases'!A183","Revoke encryption key")</f>
        <v>Revoke encryption key</v>
      </c>
      <c r="C17" s="10"/>
      <c r="D17" s="11" t="s">
        <v>28</v>
      </c>
      <c r="E17" s="11"/>
      <c r="F17" s="9">
        <v>2</v>
      </c>
      <c r="G17" s="12">
        <v>0</v>
      </c>
      <c r="H17" s="13">
        <v>0</v>
      </c>
      <c r="I17" s="14">
        <v>2</v>
      </c>
      <c r="J17" s="9" t="s">
        <v>18</v>
      </c>
      <c r="K17" s="15" t="str">
        <f>HYPERLINK("#'Test Cases'!A183","Go to section 11 →")</f>
        <v>Go to section 11 →</v>
      </c>
      <c r="L17" s="15"/>
      <c r="M17" s="15"/>
    </row>
    <row r="18" ht="20" customHeight="1" spans="1:13" x14ac:dyDescent="0.25">
      <c r="A18" s="16">
        <v>12</v>
      </c>
      <c r="B18" s="17" t="str">
        <f>HYPERLINK("#'Test Cases'!A189","Across endpoints")</f>
        <v>Across endpoints</v>
      </c>
      <c r="C18" s="17"/>
      <c r="D18" s="18" t="s">
        <v>29</v>
      </c>
      <c r="E18" s="18"/>
      <c r="F18" s="16">
        <v>9</v>
      </c>
      <c r="G18" s="19">
        <v>0</v>
      </c>
      <c r="H18" s="20">
        <v>0</v>
      </c>
      <c r="I18" s="21">
        <v>9</v>
      </c>
      <c r="J18" s="16" t="s">
        <v>18</v>
      </c>
      <c r="K18" s="22" t="str">
        <f>HYPERLINK("#'Test Cases'!A189","Go to section 12 →")</f>
        <v>Go to section 12 →</v>
      </c>
      <c r="L18" s="22"/>
      <c r="M18" s="22"/>
    </row>
    <row r="21" ht="28" customHeight="1" spans="1:13" x14ac:dyDescent="0.25">
      <c r="A21" s="23" t="s">
        <v>30</v>
      </c>
      <c r="B21" s="23"/>
      <c r="C21" s="23"/>
      <c r="D21" s="23"/>
      <c r="E21" s="23"/>
      <c r="F21" s="23"/>
      <c r="G21" s="23"/>
      <c r="H21" s="23"/>
      <c r="I21" s="23"/>
      <c r="J21" s="23"/>
      <c r="K21" s="23"/>
      <c r="L21" s="23"/>
      <c r="M21" s="24" t="str">
        <f>HYPERLINK("#'Test Cases'!A5","↑ Summary")</f>
        <v>↑ Summary</v>
      </c>
    </row>
    <row r="22" ht="18" customHeight="1" spans="1:13" x14ac:dyDescent="0.25">
      <c r="A22" s="25" t="s">
        <v>31</v>
      </c>
      <c r="B22" s="25"/>
      <c r="C22" s="25"/>
      <c r="D22" s="25"/>
      <c r="E22" s="25"/>
      <c r="F22" s="25"/>
      <c r="G22" s="25"/>
      <c r="H22" s="25"/>
      <c r="I22" s="25"/>
      <c r="J22" s="25"/>
      <c r="K22" s="25"/>
      <c r="L22" s="25"/>
      <c r="M22" s="25"/>
    </row>
    <row r="23" ht="30" customHeight="1" spans="1:13" x14ac:dyDescent="0.25">
      <c r="A23" s="26" t="s">
        <v>32</v>
      </c>
      <c r="B23" s="26" t="s">
        <v>33</v>
      </c>
      <c r="C23" s="26" t="s">
        <v>34</v>
      </c>
      <c r="D23" s="26" t="s">
        <v>35</v>
      </c>
      <c r="E23" s="26" t="s">
        <v>36</v>
      </c>
      <c r="F23" s="26" t="s">
        <v>37</v>
      </c>
      <c r="G23" s="26" t="s">
        <v>38</v>
      </c>
      <c r="H23" s="26" t="s">
        <v>39</v>
      </c>
      <c r="I23" s="26" t="s">
        <v>40</v>
      </c>
      <c r="J23" s="26" t="s">
        <v>41</v>
      </c>
      <c r="K23" s="26" t="s">
        <v>42</v>
      </c>
      <c r="L23" s="26" t="s">
        <v>43</v>
      </c>
      <c r="M23" s="26" t="s">
        <v>44</v>
      </c>
    </row>
    <row r="24" ht="81" customHeight="1" spans="1:13" x14ac:dyDescent="0.25">
      <c r="A24" s="27">
        <v>1</v>
      </c>
      <c r="B24" s="28" t="s">
        <v>45</v>
      </c>
      <c r="C24" s="29" t="s">
        <v>46</v>
      </c>
      <c r="D24" s="30" t="s">
        <v>47</v>
      </c>
      <c r="E24" s="29" t="s">
        <v>48</v>
      </c>
      <c r="F24" s="29" t="s">
        <v>49</v>
      </c>
      <c r="G24" s="27" t="s">
        <v>50</v>
      </c>
      <c r="H24" s="31" t="s">
        <v>51</v>
      </c>
      <c r="I24" s="32" t="s">
        <v>52</v>
      </c>
      <c r="J24" s="29" t="s">
        <v>53</v>
      </c>
      <c r="K24" s="33" t="s">
        <v>54</v>
      </c>
      <c r="L24" s="34" t="s">
        <v>55</v>
      </c>
      <c r="M24" s="29" t="s">
        <v>53</v>
      </c>
    </row>
    <row r="25" ht="81" customHeight="1" spans="1:13" x14ac:dyDescent="0.25">
      <c r="A25" s="35">
        <v>2</v>
      </c>
      <c r="B25" s="36" t="s">
        <v>56</v>
      </c>
      <c r="C25" s="37" t="s">
        <v>57</v>
      </c>
      <c r="D25" s="38" t="s">
        <v>58</v>
      </c>
      <c r="E25" s="37" t="s">
        <v>59</v>
      </c>
      <c r="F25" s="37" t="s">
        <v>60</v>
      </c>
      <c r="G25" s="35" t="s">
        <v>61</v>
      </c>
      <c r="H25" s="39" t="s">
        <v>62</v>
      </c>
      <c r="I25" s="40" t="s">
        <v>63</v>
      </c>
      <c r="J25" s="37" t="s">
        <v>64</v>
      </c>
      <c r="K25" s="33" t="s">
        <v>54</v>
      </c>
      <c r="L25" s="41" t="s">
        <v>55</v>
      </c>
      <c r="M25" s="37" t="s">
        <v>53</v>
      </c>
    </row>
    <row r="27" ht="28" customHeight="1" spans="1:13" x14ac:dyDescent="0.25">
      <c r="A27" s="23" t="s">
        <v>65</v>
      </c>
      <c r="B27" s="23"/>
      <c r="C27" s="23"/>
      <c r="D27" s="23"/>
      <c r="E27" s="23"/>
      <c r="F27" s="23"/>
      <c r="G27" s="23"/>
      <c r="H27" s="23"/>
      <c r="I27" s="23"/>
      <c r="J27" s="23"/>
      <c r="K27" s="23"/>
      <c r="L27" s="23"/>
      <c r="M27" s="24" t="str">
        <f>HYPERLINK("#'Test Cases'!A5","↑ Summary")</f>
        <v>↑ Summary</v>
      </c>
    </row>
    <row r="28" ht="18" customHeight="1" spans="1:13" x14ac:dyDescent="0.25">
      <c r="A28" s="25" t="s">
        <v>66</v>
      </c>
      <c r="B28" s="25"/>
      <c r="C28" s="25"/>
      <c r="D28" s="25"/>
      <c r="E28" s="25"/>
      <c r="F28" s="25"/>
      <c r="G28" s="25"/>
      <c r="H28" s="25"/>
      <c r="I28" s="25"/>
      <c r="J28" s="25"/>
      <c r="K28" s="25"/>
      <c r="L28" s="25"/>
      <c r="M28" s="25"/>
    </row>
    <row r="29" ht="30" customHeight="1" spans="1:13" x14ac:dyDescent="0.25">
      <c r="A29" s="26" t="s">
        <v>32</v>
      </c>
      <c r="B29" s="26" t="s">
        <v>33</v>
      </c>
      <c r="C29" s="26" t="s">
        <v>34</v>
      </c>
      <c r="D29" s="26" t="s">
        <v>35</v>
      </c>
      <c r="E29" s="26" t="s">
        <v>36</v>
      </c>
      <c r="F29" s="26" t="s">
        <v>37</v>
      </c>
      <c r="G29" s="26" t="s">
        <v>38</v>
      </c>
      <c r="H29" s="26" t="s">
        <v>39</v>
      </c>
      <c r="I29" s="26" t="s">
        <v>40</v>
      </c>
      <c r="J29" s="26" t="s">
        <v>41</v>
      </c>
      <c r="K29" s="26" t="s">
        <v>42</v>
      </c>
      <c r="L29" s="26" t="s">
        <v>43</v>
      </c>
      <c r="M29" s="26" t="s">
        <v>44</v>
      </c>
    </row>
    <row r="30" ht="96" customHeight="1" spans="1:13" x14ac:dyDescent="0.25">
      <c r="A30" s="27">
        <v>1</v>
      </c>
      <c r="B30" s="28" t="s">
        <v>67</v>
      </c>
      <c r="C30" s="29" t="s">
        <v>68</v>
      </c>
      <c r="D30" s="30" t="s">
        <v>69</v>
      </c>
      <c r="E30" s="29" t="s">
        <v>70</v>
      </c>
      <c r="F30" s="29" t="s">
        <v>71</v>
      </c>
      <c r="G30" s="27" t="s">
        <v>50</v>
      </c>
      <c r="H30" s="31" t="s">
        <v>51</v>
      </c>
      <c r="I30" s="32" t="s">
        <v>52</v>
      </c>
      <c r="J30" s="29" t="s">
        <v>53</v>
      </c>
      <c r="K30" s="33" t="s">
        <v>54</v>
      </c>
      <c r="L30" s="34" t="s">
        <v>55</v>
      </c>
      <c r="M30" s="29" t="s">
        <v>53</v>
      </c>
    </row>
    <row r="31" ht="81" customHeight="1" spans="1:13" x14ac:dyDescent="0.25">
      <c r="A31" s="35">
        <v>2</v>
      </c>
      <c r="B31" s="36" t="s">
        <v>72</v>
      </c>
      <c r="C31" s="37" t="s">
        <v>73</v>
      </c>
      <c r="D31" s="38" t="s">
        <v>74</v>
      </c>
      <c r="E31" s="37" t="s">
        <v>75</v>
      </c>
      <c r="F31" s="37" t="s">
        <v>76</v>
      </c>
      <c r="G31" s="35" t="s">
        <v>77</v>
      </c>
      <c r="H31" s="39" t="s">
        <v>62</v>
      </c>
      <c r="I31" s="42" t="s">
        <v>78</v>
      </c>
      <c r="J31" s="37" t="s">
        <v>53</v>
      </c>
      <c r="K31" s="33" t="s">
        <v>54</v>
      </c>
      <c r="L31" s="41" t="s">
        <v>55</v>
      </c>
      <c r="M31" s="37" t="s">
        <v>53</v>
      </c>
    </row>
    <row r="32" ht="66" customHeight="1" spans="1:13" x14ac:dyDescent="0.25">
      <c r="A32" s="27">
        <v>3</v>
      </c>
      <c r="B32" s="28" t="s">
        <v>79</v>
      </c>
      <c r="C32" s="29" t="s">
        <v>80</v>
      </c>
      <c r="D32" s="30" t="s">
        <v>81</v>
      </c>
      <c r="E32" s="29" t="s">
        <v>82</v>
      </c>
      <c r="F32" s="29" t="s">
        <v>76</v>
      </c>
      <c r="G32" s="27" t="s">
        <v>77</v>
      </c>
      <c r="H32" s="43" t="s">
        <v>62</v>
      </c>
      <c r="I32" s="44" t="s">
        <v>78</v>
      </c>
      <c r="J32" s="29" t="s">
        <v>53</v>
      </c>
      <c r="K32" s="33" t="s">
        <v>54</v>
      </c>
      <c r="L32" s="34" t="s">
        <v>55</v>
      </c>
      <c r="M32" s="29" t="s">
        <v>53</v>
      </c>
    </row>
    <row r="33" ht="81" customHeight="1" spans="1:13" x14ac:dyDescent="0.25">
      <c r="A33" s="35">
        <v>4</v>
      </c>
      <c r="B33" s="36" t="s">
        <v>83</v>
      </c>
      <c r="C33" s="37" t="s">
        <v>84</v>
      </c>
      <c r="D33" s="38" t="s">
        <v>85</v>
      </c>
      <c r="E33" s="37" t="s">
        <v>86</v>
      </c>
      <c r="F33" s="37" t="s">
        <v>76</v>
      </c>
      <c r="G33" s="35" t="s">
        <v>77</v>
      </c>
      <c r="H33" s="39" t="s">
        <v>62</v>
      </c>
      <c r="I33" s="42" t="s">
        <v>78</v>
      </c>
      <c r="J33" s="37" t="s">
        <v>53</v>
      </c>
      <c r="K33" s="33" t="s">
        <v>54</v>
      </c>
      <c r="L33" s="41" t="s">
        <v>55</v>
      </c>
      <c r="M33" s="37" t="s">
        <v>53</v>
      </c>
    </row>
    <row r="34" ht="81" customHeight="1" spans="1:13" x14ac:dyDescent="0.25">
      <c r="A34" s="27">
        <v>5</v>
      </c>
      <c r="B34" s="28" t="s">
        <v>87</v>
      </c>
      <c r="C34" s="29" t="s">
        <v>88</v>
      </c>
      <c r="D34" s="30" t="s">
        <v>89</v>
      </c>
      <c r="E34" s="29" t="s">
        <v>90</v>
      </c>
      <c r="F34" s="29" t="s">
        <v>76</v>
      </c>
      <c r="G34" s="27" t="s">
        <v>77</v>
      </c>
      <c r="H34" s="43" t="s">
        <v>62</v>
      </c>
      <c r="I34" s="44" t="s">
        <v>78</v>
      </c>
      <c r="J34" s="29" t="s">
        <v>53</v>
      </c>
      <c r="K34" s="33" t="s">
        <v>54</v>
      </c>
      <c r="L34" s="34" t="s">
        <v>55</v>
      </c>
      <c r="M34" s="29" t="s">
        <v>53</v>
      </c>
    </row>
    <row r="35" ht="81" customHeight="1" spans="1:13" x14ac:dyDescent="0.25">
      <c r="A35" s="35">
        <v>6</v>
      </c>
      <c r="B35" s="36" t="s">
        <v>91</v>
      </c>
      <c r="C35" s="37" t="s">
        <v>92</v>
      </c>
      <c r="D35" s="38" t="s">
        <v>93</v>
      </c>
      <c r="E35" s="37" t="s">
        <v>94</v>
      </c>
      <c r="F35" s="37" t="s">
        <v>76</v>
      </c>
      <c r="G35" s="35" t="s">
        <v>77</v>
      </c>
      <c r="H35" s="39" t="s">
        <v>62</v>
      </c>
      <c r="I35" s="42" t="s">
        <v>78</v>
      </c>
      <c r="J35" s="37" t="s">
        <v>53</v>
      </c>
      <c r="K35" s="33" t="s">
        <v>54</v>
      </c>
      <c r="L35" s="41" t="s">
        <v>55</v>
      </c>
      <c r="M35" s="37" t="s">
        <v>53</v>
      </c>
    </row>
    <row r="36" ht="81" customHeight="1" spans="1:13" x14ac:dyDescent="0.25">
      <c r="A36" s="27">
        <v>7</v>
      </c>
      <c r="B36" s="28" t="s">
        <v>95</v>
      </c>
      <c r="C36" s="29" t="s">
        <v>96</v>
      </c>
      <c r="D36" s="30" t="s">
        <v>97</v>
      </c>
      <c r="E36" s="29" t="s">
        <v>98</v>
      </c>
      <c r="F36" s="29" t="s">
        <v>76</v>
      </c>
      <c r="G36" s="27" t="s">
        <v>77</v>
      </c>
      <c r="H36" s="43" t="s">
        <v>62</v>
      </c>
      <c r="I36" s="44" t="s">
        <v>78</v>
      </c>
      <c r="J36" s="29" t="s">
        <v>53</v>
      </c>
      <c r="K36" s="33" t="s">
        <v>54</v>
      </c>
      <c r="L36" s="34" t="s">
        <v>55</v>
      </c>
      <c r="M36" s="29" t="s">
        <v>53</v>
      </c>
    </row>
    <row r="37" ht="81" customHeight="1" spans="1:13" x14ac:dyDescent="0.25">
      <c r="A37" s="35">
        <v>8</v>
      </c>
      <c r="B37" s="36" t="s">
        <v>99</v>
      </c>
      <c r="C37" s="37" t="s">
        <v>100</v>
      </c>
      <c r="D37" s="38" t="s">
        <v>101</v>
      </c>
      <c r="E37" s="37" t="s">
        <v>102</v>
      </c>
      <c r="F37" s="37" t="s">
        <v>76</v>
      </c>
      <c r="G37" s="35" t="s">
        <v>77</v>
      </c>
      <c r="H37" s="39" t="s">
        <v>62</v>
      </c>
      <c r="I37" s="42" t="s">
        <v>78</v>
      </c>
      <c r="J37" s="37" t="s">
        <v>53</v>
      </c>
      <c r="K37" s="33" t="s">
        <v>54</v>
      </c>
      <c r="L37" s="41" t="s">
        <v>55</v>
      </c>
      <c r="M37" s="37" t="s">
        <v>53</v>
      </c>
    </row>
    <row r="38" ht="81" customHeight="1" spans="1:13" x14ac:dyDescent="0.25">
      <c r="A38" s="27">
        <v>9</v>
      </c>
      <c r="B38" s="28" t="s">
        <v>103</v>
      </c>
      <c r="C38" s="29" t="s">
        <v>104</v>
      </c>
      <c r="D38" s="30" t="s">
        <v>105</v>
      </c>
      <c r="E38" s="29" t="s">
        <v>106</v>
      </c>
      <c r="F38" s="29" t="s">
        <v>76</v>
      </c>
      <c r="G38" s="27" t="s">
        <v>77</v>
      </c>
      <c r="H38" s="43" t="s">
        <v>62</v>
      </c>
      <c r="I38" s="44" t="s">
        <v>78</v>
      </c>
      <c r="J38" s="29" t="s">
        <v>53</v>
      </c>
      <c r="K38" s="33" t="s">
        <v>54</v>
      </c>
      <c r="L38" s="34" t="s">
        <v>55</v>
      </c>
      <c r="M38" s="29" t="s">
        <v>53</v>
      </c>
    </row>
    <row r="39" ht="66" customHeight="1" spans="1:13" x14ac:dyDescent="0.25">
      <c r="A39" s="35">
        <v>10</v>
      </c>
      <c r="B39" s="36" t="s">
        <v>107</v>
      </c>
      <c r="C39" s="37" t="s">
        <v>108</v>
      </c>
      <c r="D39" s="38" t="s">
        <v>109</v>
      </c>
      <c r="E39" s="37" t="s">
        <v>110</v>
      </c>
      <c r="F39" s="37" t="s">
        <v>76</v>
      </c>
      <c r="G39" s="35" t="s">
        <v>77</v>
      </c>
      <c r="H39" s="39" t="s">
        <v>62</v>
      </c>
      <c r="I39" s="42" t="s">
        <v>78</v>
      </c>
      <c r="J39" s="37" t="s">
        <v>53</v>
      </c>
      <c r="K39" s="33" t="s">
        <v>54</v>
      </c>
      <c r="L39" s="41" t="s">
        <v>55</v>
      </c>
      <c r="M39" s="37" t="s">
        <v>53</v>
      </c>
    </row>
    <row r="40" ht="81" customHeight="1" spans="1:13" x14ac:dyDescent="0.25">
      <c r="A40" s="27">
        <v>11</v>
      </c>
      <c r="B40" s="28" t="s">
        <v>111</v>
      </c>
      <c r="C40" s="29" t="s">
        <v>112</v>
      </c>
      <c r="D40" s="30" t="s">
        <v>113</v>
      </c>
      <c r="E40" s="29" t="s">
        <v>114</v>
      </c>
      <c r="F40" s="29" t="s">
        <v>76</v>
      </c>
      <c r="G40" s="27" t="s">
        <v>77</v>
      </c>
      <c r="H40" s="43" t="s">
        <v>62</v>
      </c>
      <c r="I40" s="44" t="s">
        <v>78</v>
      </c>
      <c r="J40" s="29" t="s">
        <v>53</v>
      </c>
      <c r="K40" s="33" t="s">
        <v>54</v>
      </c>
      <c r="L40" s="34" t="s">
        <v>55</v>
      </c>
      <c r="M40" s="29" t="s">
        <v>53</v>
      </c>
    </row>
    <row r="41" ht="81" customHeight="1" spans="1:13" x14ac:dyDescent="0.25">
      <c r="A41" s="35">
        <v>12</v>
      </c>
      <c r="B41" s="36" t="s">
        <v>115</v>
      </c>
      <c r="C41" s="37" t="s">
        <v>116</v>
      </c>
      <c r="D41" s="38" t="s">
        <v>117</v>
      </c>
      <c r="E41" s="37" t="s">
        <v>118</v>
      </c>
      <c r="F41" s="37" t="s">
        <v>76</v>
      </c>
      <c r="G41" s="35" t="s">
        <v>77</v>
      </c>
      <c r="H41" s="39" t="s">
        <v>62</v>
      </c>
      <c r="I41" s="45" t="s">
        <v>52</v>
      </c>
      <c r="J41" s="37" t="s">
        <v>53</v>
      </c>
      <c r="K41" s="33" t="s">
        <v>54</v>
      </c>
      <c r="L41" s="41" t="s">
        <v>55</v>
      </c>
      <c r="M41" s="37" t="s">
        <v>53</v>
      </c>
    </row>
    <row r="42" ht="81" customHeight="1" spans="1:13" x14ac:dyDescent="0.25">
      <c r="A42" s="27">
        <v>13</v>
      </c>
      <c r="B42" s="28" t="s">
        <v>119</v>
      </c>
      <c r="C42" s="29" t="s">
        <v>120</v>
      </c>
      <c r="D42" s="30" t="s">
        <v>121</v>
      </c>
      <c r="E42" s="29" t="s">
        <v>122</v>
      </c>
      <c r="F42" s="29" t="s">
        <v>76</v>
      </c>
      <c r="G42" s="27" t="s">
        <v>77</v>
      </c>
      <c r="H42" s="43" t="s">
        <v>62</v>
      </c>
      <c r="I42" s="44" t="s">
        <v>78</v>
      </c>
      <c r="J42" s="29" t="s">
        <v>53</v>
      </c>
      <c r="K42" s="33" t="s">
        <v>54</v>
      </c>
      <c r="L42" s="34" t="s">
        <v>55</v>
      </c>
      <c r="M42" s="29" t="s">
        <v>53</v>
      </c>
    </row>
    <row r="43" ht="66" customHeight="1" spans="1:13" x14ac:dyDescent="0.25">
      <c r="A43" s="35">
        <v>14</v>
      </c>
      <c r="B43" s="36" t="s">
        <v>123</v>
      </c>
      <c r="C43" s="37" t="s">
        <v>124</v>
      </c>
      <c r="D43" s="38" t="s">
        <v>125</v>
      </c>
      <c r="E43" s="37" t="s">
        <v>126</v>
      </c>
      <c r="F43" s="37" t="s">
        <v>76</v>
      </c>
      <c r="G43" s="35" t="s">
        <v>77</v>
      </c>
      <c r="H43" s="39" t="s">
        <v>62</v>
      </c>
      <c r="I43" s="45" t="s">
        <v>52</v>
      </c>
      <c r="J43" s="37" t="s">
        <v>53</v>
      </c>
      <c r="K43" s="33" t="s">
        <v>54</v>
      </c>
      <c r="L43" s="41" t="s">
        <v>55</v>
      </c>
      <c r="M43" s="37" t="s">
        <v>53</v>
      </c>
    </row>
    <row r="44" ht="66" customHeight="1" spans="1:13" x14ac:dyDescent="0.25">
      <c r="A44" s="27">
        <v>15</v>
      </c>
      <c r="B44" s="28" t="s">
        <v>127</v>
      </c>
      <c r="C44" s="29" t="s">
        <v>128</v>
      </c>
      <c r="D44" s="30" t="s">
        <v>129</v>
      </c>
      <c r="E44" s="29" t="s">
        <v>130</v>
      </c>
      <c r="F44" s="29" t="s">
        <v>76</v>
      </c>
      <c r="G44" s="27" t="s">
        <v>77</v>
      </c>
      <c r="H44" s="43" t="s">
        <v>62</v>
      </c>
      <c r="I44" s="32" t="s">
        <v>52</v>
      </c>
      <c r="J44" s="29" t="s">
        <v>53</v>
      </c>
      <c r="K44" s="33" t="s">
        <v>54</v>
      </c>
      <c r="L44" s="34" t="s">
        <v>55</v>
      </c>
      <c r="M44" s="29" t="s">
        <v>53</v>
      </c>
    </row>
    <row r="45" ht="81" customHeight="1" spans="1:13" x14ac:dyDescent="0.25">
      <c r="A45" s="35">
        <v>16</v>
      </c>
      <c r="B45" s="36" t="s">
        <v>131</v>
      </c>
      <c r="C45" s="37" t="s">
        <v>132</v>
      </c>
      <c r="D45" s="38" t="s">
        <v>133</v>
      </c>
      <c r="E45" s="37" t="s">
        <v>134</v>
      </c>
      <c r="F45" s="37" t="s">
        <v>76</v>
      </c>
      <c r="G45" s="35" t="s">
        <v>77</v>
      </c>
      <c r="H45" s="39" t="s">
        <v>62</v>
      </c>
      <c r="I45" s="45" t="s">
        <v>52</v>
      </c>
      <c r="J45" s="37" t="s">
        <v>53</v>
      </c>
      <c r="K45" s="33" t="s">
        <v>54</v>
      </c>
      <c r="L45" s="41" t="s">
        <v>55</v>
      </c>
      <c r="M45" s="37" t="s">
        <v>53</v>
      </c>
    </row>
    <row r="46" ht="66" customHeight="1" spans="1:13" x14ac:dyDescent="0.25">
      <c r="A46" s="27">
        <v>17</v>
      </c>
      <c r="B46" s="28" t="s">
        <v>135</v>
      </c>
      <c r="C46" s="29" t="s">
        <v>136</v>
      </c>
      <c r="D46" s="30" t="s">
        <v>137</v>
      </c>
      <c r="E46" s="29" t="s">
        <v>138</v>
      </c>
      <c r="F46" s="29" t="s">
        <v>76</v>
      </c>
      <c r="G46" s="27" t="s">
        <v>77</v>
      </c>
      <c r="H46" s="43" t="s">
        <v>62</v>
      </c>
      <c r="I46" s="44" t="s">
        <v>78</v>
      </c>
      <c r="J46" s="29" t="s">
        <v>139</v>
      </c>
      <c r="K46" s="33" t="s">
        <v>54</v>
      </c>
      <c r="L46" s="34" t="s">
        <v>55</v>
      </c>
      <c r="M46" s="29" t="s">
        <v>53</v>
      </c>
    </row>
    <row r="47" ht="81" customHeight="1" spans="1:13" x14ac:dyDescent="0.25">
      <c r="A47" s="35">
        <v>18</v>
      </c>
      <c r="B47" s="36" t="s">
        <v>140</v>
      </c>
      <c r="C47" s="37" t="s">
        <v>141</v>
      </c>
      <c r="D47" s="38" t="s">
        <v>142</v>
      </c>
      <c r="E47" s="37" t="s">
        <v>143</v>
      </c>
      <c r="F47" s="37" t="s">
        <v>144</v>
      </c>
      <c r="G47" s="35" t="s">
        <v>77</v>
      </c>
      <c r="H47" s="39" t="s">
        <v>62</v>
      </c>
      <c r="I47" s="40" t="s">
        <v>63</v>
      </c>
      <c r="J47" s="37" t="s">
        <v>53</v>
      </c>
      <c r="K47" s="33" t="s">
        <v>54</v>
      </c>
      <c r="L47" s="41" t="s">
        <v>55</v>
      </c>
      <c r="M47" s="37" t="s">
        <v>53</v>
      </c>
    </row>
    <row r="48" ht="81" customHeight="1" spans="1:13" x14ac:dyDescent="0.25">
      <c r="A48" s="27">
        <v>19</v>
      </c>
      <c r="B48" s="28" t="s">
        <v>145</v>
      </c>
      <c r="C48" s="29" t="s">
        <v>146</v>
      </c>
      <c r="D48" s="30" t="s">
        <v>147</v>
      </c>
      <c r="E48" s="29" t="s">
        <v>148</v>
      </c>
      <c r="F48" s="29" t="s">
        <v>149</v>
      </c>
      <c r="G48" s="27" t="s">
        <v>77</v>
      </c>
      <c r="H48" s="43" t="s">
        <v>62</v>
      </c>
      <c r="I48" s="44" t="s">
        <v>78</v>
      </c>
      <c r="J48" s="29" t="s">
        <v>150</v>
      </c>
      <c r="K48" s="33" t="s">
        <v>54</v>
      </c>
      <c r="L48" s="34" t="s">
        <v>55</v>
      </c>
      <c r="M48" s="29" t="s">
        <v>53</v>
      </c>
    </row>
    <row r="49" ht="81" customHeight="1" spans="1:13" x14ac:dyDescent="0.25">
      <c r="A49" s="35">
        <v>20</v>
      </c>
      <c r="B49" s="36" t="s">
        <v>151</v>
      </c>
      <c r="C49" s="37" t="s">
        <v>152</v>
      </c>
      <c r="D49" s="38" t="s">
        <v>153</v>
      </c>
      <c r="E49" s="37" t="s">
        <v>154</v>
      </c>
      <c r="F49" s="37" t="s">
        <v>155</v>
      </c>
      <c r="G49" s="35" t="s">
        <v>77</v>
      </c>
      <c r="H49" s="39" t="s">
        <v>62</v>
      </c>
      <c r="I49" s="42" t="s">
        <v>78</v>
      </c>
      <c r="J49" s="37" t="s">
        <v>156</v>
      </c>
      <c r="K49" s="33" t="s">
        <v>54</v>
      </c>
      <c r="L49" s="41" t="s">
        <v>55</v>
      </c>
      <c r="M49" s="37" t="s">
        <v>53</v>
      </c>
    </row>
    <row r="50" ht="81" customHeight="1" spans="1:13" x14ac:dyDescent="0.25">
      <c r="A50" s="27">
        <v>21</v>
      </c>
      <c r="B50" s="28" t="s">
        <v>157</v>
      </c>
      <c r="C50" s="29" t="s">
        <v>158</v>
      </c>
      <c r="D50" s="30" t="s">
        <v>159</v>
      </c>
      <c r="E50" s="29" t="s">
        <v>160</v>
      </c>
      <c r="F50" s="29" t="s">
        <v>161</v>
      </c>
      <c r="G50" s="27" t="s">
        <v>77</v>
      </c>
      <c r="H50" s="43" t="s">
        <v>62</v>
      </c>
      <c r="I50" s="44" t="s">
        <v>78</v>
      </c>
      <c r="J50" s="29" t="s">
        <v>162</v>
      </c>
      <c r="K50" s="33" t="s">
        <v>54</v>
      </c>
      <c r="L50" s="34" t="s">
        <v>55</v>
      </c>
      <c r="M50" s="29" t="s">
        <v>53</v>
      </c>
    </row>
    <row r="51" ht="81" customHeight="1" spans="1:13" x14ac:dyDescent="0.25">
      <c r="A51" s="35">
        <v>22</v>
      </c>
      <c r="B51" s="36" t="s">
        <v>163</v>
      </c>
      <c r="C51" s="37" t="s">
        <v>164</v>
      </c>
      <c r="D51" s="38" t="s">
        <v>165</v>
      </c>
      <c r="E51" s="37" t="s">
        <v>166</v>
      </c>
      <c r="F51" s="37" t="s">
        <v>167</v>
      </c>
      <c r="G51" s="35" t="s">
        <v>77</v>
      </c>
      <c r="H51" s="39" t="s">
        <v>62</v>
      </c>
      <c r="I51" s="42" t="s">
        <v>78</v>
      </c>
      <c r="J51" s="37" t="s">
        <v>150</v>
      </c>
      <c r="K51" s="33" t="s">
        <v>54</v>
      </c>
      <c r="L51" s="41" t="s">
        <v>55</v>
      </c>
      <c r="M51" s="37" t="s">
        <v>53</v>
      </c>
    </row>
    <row r="52" ht="96" customHeight="1" spans="1:13" x14ac:dyDescent="0.25">
      <c r="A52" s="27">
        <v>23</v>
      </c>
      <c r="B52" s="28" t="s">
        <v>168</v>
      </c>
      <c r="C52" s="29" t="s">
        <v>169</v>
      </c>
      <c r="D52" s="30" t="s">
        <v>170</v>
      </c>
      <c r="E52" s="29" t="s">
        <v>171</v>
      </c>
      <c r="F52" s="29" t="s">
        <v>172</v>
      </c>
      <c r="G52" s="27" t="s">
        <v>173</v>
      </c>
      <c r="H52" s="43" t="s">
        <v>62</v>
      </c>
      <c r="I52" s="32" t="s">
        <v>52</v>
      </c>
      <c r="J52" s="29" t="s">
        <v>174</v>
      </c>
      <c r="K52" s="33" t="s">
        <v>54</v>
      </c>
      <c r="L52" s="34" t="s">
        <v>55</v>
      </c>
      <c r="M52" s="29" t="s">
        <v>53</v>
      </c>
    </row>
    <row r="53" ht="96" customHeight="1" spans="1:13" x14ac:dyDescent="0.25">
      <c r="A53" s="35">
        <v>24</v>
      </c>
      <c r="B53" s="36" t="s">
        <v>175</v>
      </c>
      <c r="C53" s="37" t="s">
        <v>176</v>
      </c>
      <c r="D53" s="38" t="s">
        <v>177</v>
      </c>
      <c r="E53" s="37" t="s">
        <v>178</v>
      </c>
      <c r="F53" s="37" t="s">
        <v>179</v>
      </c>
      <c r="G53" s="35" t="s">
        <v>173</v>
      </c>
      <c r="H53" s="39" t="s">
        <v>62</v>
      </c>
      <c r="I53" s="42" t="s">
        <v>78</v>
      </c>
      <c r="J53" s="37" t="s">
        <v>180</v>
      </c>
      <c r="K53" s="33" t="s">
        <v>54</v>
      </c>
      <c r="L53" s="41" t="s">
        <v>55</v>
      </c>
      <c r="M53" s="37" t="s">
        <v>53</v>
      </c>
    </row>
    <row r="54" ht="96" customHeight="1" spans="1:13" x14ac:dyDescent="0.25">
      <c r="A54" s="27">
        <v>25</v>
      </c>
      <c r="B54" s="28" t="s">
        <v>181</v>
      </c>
      <c r="C54" s="29" t="s">
        <v>182</v>
      </c>
      <c r="D54" s="30" t="s">
        <v>183</v>
      </c>
      <c r="E54" s="29" t="s">
        <v>184</v>
      </c>
      <c r="F54" s="29" t="s">
        <v>185</v>
      </c>
      <c r="G54" s="27" t="s">
        <v>77</v>
      </c>
      <c r="H54" s="43" t="s">
        <v>62</v>
      </c>
      <c r="I54" s="44" t="s">
        <v>78</v>
      </c>
      <c r="J54" s="29" t="s">
        <v>186</v>
      </c>
      <c r="K54" s="33" t="s">
        <v>54</v>
      </c>
      <c r="L54" s="34" t="s">
        <v>55</v>
      </c>
      <c r="M54" s="29" t="s">
        <v>53</v>
      </c>
    </row>
    <row r="55" ht="111" customHeight="1" spans="1:13" x14ac:dyDescent="0.25">
      <c r="A55" s="35">
        <v>26</v>
      </c>
      <c r="B55" s="36" t="s">
        <v>187</v>
      </c>
      <c r="C55" s="37" t="s">
        <v>188</v>
      </c>
      <c r="D55" s="38" t="s">
        <v>189</v>
      </c>
      <c r="E55" s="37" t="s">
        <v>190</v>
      </c>
      <c r="F55" s="37" t="s">
        <v>191</v>
      </c>
      <c r="G55" s="35" t="s">
        <v>77</v>
      </c>
      <c r="H55" s="39" t="s">
        <v>62</v>
      </c>
      <c r="I55" s="42" t="s">
        <v>78</v>
      </c>
      <c r="J55" s="37" t="s">
        <v>174</v>
      </c>
      <c r="K55" s="33" t="s">
        <v>54</v>
      </c>
      <c r="L55" s="41" t="s">
        <v>55</v>
      </c>
      <c r="M55" s="37" t="s">
        <v>53</v>
      </c>
    </row>
    <row r="56" ht="66" customHeight="1" spans="1:13" x14ac:dyDescent="0.25">
      <c r="A56" s="27">
        <v>27</v>
      </c>
      <c r="B56" s="28" t="s">
        <v>192</v>
      </c>
      <c r="C56" s="29" t="s">
        <v>193</v>
      </c>
      <c r="D56" s="30" t="s">
        <v>194</v>
      </c>
      <c r="E56" s="29" t="s">
        <v>195</v>
      </c>
      <c r="F56" s="29" t="s">
        <v>196</v>
      </c>
      <c r="G56" s="27" t="s">
        <v>50</v>
      </c>
      <c r="H56" s="31" t="s">
        <v>51</v>
      </c>
      <c r="I56" s="46" t="s">
        <v>63</v>
      </c>
      <c r="J56" s="29" t="s">
        <v>53</v>
      </c>
      <c r="K56" s="33" t="s">
        <v>54</v>
      </c>
      <c r="L56" s="34" t="s">
        <v>55</v>
      </c>
      <c r="M56" s="29" t="s">
        <v>53</v>
      </c>
    </row>
    <row r="57" ht="66" customHeight="1" spans="1:13" x14ac:dyDescent="0.25">
      <c r="A57" s="35">
        <v>28</v>
      </c>
      <c r="B57" s="36" t="s">
        <v>197</v>
      </c>
      <c r="C57" s="37" t="s">
        <v>198</v>
      </c>
      <c r="D57" s="38" t="s">
        <v>199</v>
      </c>
      <c r="E57" s="37" t="s">
        <v>200</v>
      </c>
      <c r="F57" s="37" t="s">
        <v>201</v>
      </c>
      <c r="G57" s="35" t="s">
        <v>50</v>
      </c>
      <c r="H57" s="39" t="s">
        <v>62</v>
      </c>
      <c r="I57" s="40" t="s">
        <v>63</v>
      </c>
      <c r="J57" s="37" t="s">
        <v>202</v>
      </c>
      <c r="K57" s="33" t="s">
        <v>54</v>
      </c>
      <c r="L57" s="41" t="s">
        <v>55</v>
      </c>
      <c r="M57" s="37" t="s">
        <v>53</v>
      </c>
    </row>
    <row r="58" ht="66" customHeight="1" spans="1:13" x14ac:dyDescent="0.25">
      <c r="A58" s="27">
        <v>29</v>
      </c>
      <c r="B58" s="28" t="s">
        <v>203</v>
      </c>
      <c r="C58" s="29" t="s">
        <v>204</v>
      </c>
      <c r="D58" s="30" t="s">
        <v>205</v>
      </c>
      <c r="E58" s="29" t="s">
        <v>206</v>
      </c>
      <c r="F58" s="29" t="s">
        <v>207</v>
      </c>
      <c r="G58" s="27" t="s">
        <v>50</v>
      </c>
      <c r="H58" s="43" t="s">
        <v>62</v>
      </c>
      <c r="I58" s="46" t="s">
        <v>63</v>
      </c>
      <c r="J58" s="29" t="s">
        <v>53</v>
      </c>
      <c r="K58" s="33" t="s">
        <v>54</v>
      </c>
      <c r="L58" s="34" t="s">
        <v>55</v>
      </c>
      <c r="M58" s="29" t="s">
        <v>53</v>
      </c>
    </row>
    <row r="59" ht="81" customHeight="1" spans="1:13" x14ac:dyDescent="0.25">
      <c r="A59" s="35">
        <v>30</v>
      </c>
      <c r="B59" s="36" t="s">
        <v>208</v>
      </c>
      <c r="C59" s="37" t="s">
        <v>209</v>
      </c>
      <c r="D59" s="38" t="s">
        <v>210</v>
      </c>
      <c r="E59" s="37" t="s">
        <v>211</v>
      </c>
      <c r="F59" s="37" t="s">
        <v>212</v>
      </c>
      <c r="G59" s="35" t="s">
        <v>50</v>
      </c>
      <c r="H59" s="39" t="s">
        <v>62</v>
      </c>
      <c r="I59" s="47" t="s">
        <v>213</v>
      </c>
      <c r="J59" s="37" t="s">
        <v>214</v>
      </c>
      <c r="K59" s="33" t="s">
        <v>54</v>
      </c>
      <c r="L59" s="41" t="s">
        <v>55</v>
      </c>
      <c r="M59" s="37" t="s">
        <v>53</v>
      </c>
    </row>
    <row r="60" ht="51" customHeight="1" spans="1:13" x14ac:dyDescent="0.25">
      <c r="A60" s="27">
        <v>31</v>
      </c>
      <c r="B60" s="28" t="s">
        <v>215</v>
      </c>
      <c r="C60" s="29" t="s">
        <v>216</v>
      </c>
      <c r="D60" s="30" t="s">
        <v>217</v>
      </c>
      <c r="E60" s="29" t="s">
        <v>218</v>
      </c>
      <c r="F60" s="29" t="s">
        <v>219</v>
      </c>
      <c r="G60" s="27" t="s">
        <v>50</v>
      </c>
      <c r="H60" s="43" t="s">
        <v>62</v>
      </c>
      <c r="I60" s="46" t="s">
        <v>63</v>
      </c>
      <c r="J60" s="29" t="s">
        <v>53</v>
      </c>
      <c r="K60" s="33" t="s">
        <v>54</v>
      </c>
      <c r="L60" s="34" t="s">
        <v>55</v>
      </c>
      <c r="M60" s="29" t="s">
        <v>53</v>
      </c>
    </row>
    <row r="61" ht="81" customHeight="1" spans="1:13" x14ac:dyDescent="0.25">
      <c r="A61" s="35">
        <v>32</v>
      </c>
      <c r="B61" s="36" t="s">
        <v>220</v>
      </c>
      <c r="C61" s="37" t="s">
        <v>221</v>
      </c>
      <c r="D61" s="38" t="s">
        <v>222</v>
      </c>
      <c r="E61" s="37" t="s">
        <v>223</v>
      </c>
      <c r="F61" s="37" t="s">
        <v>224</v>
      </c>
      <c r="G61" s="35" t="s">
        <v>77</v>
      </c>
      <c r="H61" s="39" t="s">
        <v>62</v>
      </c>
      <c r="I61" s="45" t="s">
        <v>52</v>
      </c>
      <c r="J61" s="37" t="s">
        <v>53</v>
      </c>
      <c r="K61" s="33" t="s">
        <v>54</v>
      </c>
      <c r="L61" s="41" t="s">
        <v>55</v>
      </c>
      <c r="M61" s="37" t="s">
        <v>53</v>
      </c>
    </row>
    <row r="62" ht="66" customHeight="1" spans="1:13" x14ac:dyDescent="0.25">
      <c r="A62" s="27">
        <v>33</v>
      </c>
      <c r="B62" s="28" t="s">
        <v>225</v>
      </c>
      <c r="C62" s="29" t="s">
        <v>226</v>
      </c>
      <c r="D62" s="30" t="s">
        <v>227</v>
      </c>
      <c r="E62" s="29" t="s">
        <v>228</v>
      </c>
      <c r="F62" s="29" t="s">
        <v>229</v>
      </c>
      <c r="G62" s="27" t="s">
        <v>77</v>
      </c>
      <c r="H62" s="43" t="s">
        <v>62</v>
      </c>
      <c r="I62" s="46" t="s">
        <v>63</v>
      </c>
      <c r="J62" s="29" t="s">
        <v>230</v>
      </c>
      <c r="K62" s="33" t="s">
        <v>54</v>
      </c>
      <c r="L62" s="34" t="s">
        <v>55</v>
      </c>
      <c r="M62" s="29" t="s">
        <v>53</v>
      </c>
    </row>
    <row r="63" ht="66" customHeight="1" spans="1:13" x14ac:dyDescent="0.25">
      <c r="A63" s="35">
        <v>34</v>
      </c>
      <c r="B63" s="36" t="s">
        <v>231</v>
      </c>
      <c r="C63" s="37" t="s">
        <v>232</v>
      </c>
      <c r="D63" s="38" t="s">
        <v>233</v>
      </c>
      <c r="E63" s="37" t="s">
        <v>234</v>
      </c>
      <c r="F63" s="37" t="s">
        <v>235</v>
      </c>
      <c r="G63" s="35" t="s">
        <v>77</v>
      </c>
      <c r="H63" s="48" t="s">
        <v>51</v>
      </c>
      <c r="I63" s="42" t="s">
        <v>78</v>
      </c>
      <c r="J63" s="37" t="s">
        <v>236</v>
      </c>
      <c r="K63" s="33" t="s">
        <v>54</v>
      </c>
      <c r="L63" s="41" t="s">
        <v>55</v>
      </c>
      <c r="M63" s="37" t="s">
        <v>53</v>
      </c>
    </row>
    <row r="64" ht="81" customHeight="1" spans="1:13" x14ac:dyDescent="0.25">
      <c r="A64" s="27">
        <v>35</v>
      </c>
      <c r="B64" s="28" t="s">
        <v>237</v>
      </c>
      <c r="C64" s="29" t="s">
        <v>238</v>
      </c>
      <c r="D64" s="30" t="s">
        <v>239</v>
      </c>
      <c r="E64" s="29" t="s">
        <v>240</v>
      </c>
      <c r="F64" s="29" t="s">
        <v>241</v>
      </c>
      <c r="G64" s="27" t="s">
        <v>77</v>
      </c>
      <c r="H64" s="43" t="s">
        <v>62</v>
      </c>
      <c r="I64" s="44" t="s">
        <v>78</v>
      </c>
      <c r="J64" s="29" t="s">
        <v>236</v>
      </c>
      <c r="K64" s="33" t="s">
        <v>54</v>
      </c>
      <c r="L64" s="34" t="s">
        <v>55</v>
      </c>
      <c r="M64" s="29" t="s">
        <v>53</v>
      </c>
    </row>
    <row r="65" ht="66" customHeight="1" spans="1:13" x14ac:dyDescent="0.25">
      <c r="A65" s="35">
        <v>36</v>
      </c>
      <c r="B65" s="36" t="s">
        <v>242</v>
      </c>
      <c r="C65" s="37" t="s">
        <v>243</v>
      </c>
      <c r="D65" s="38" t="s">
        <v>244</v>
      </c>
      <c r="E65" s="37" t="s">
        <v>245</v>
      </c>
      <c r="F65" s="37" t="s">
        <v>246</v>
      </c>
      <c r="G65" s="35" t="s">
        <v>50</v>
      </c>
      <c r="H65" s="48" t="s">
        <v>51</v>
      </c>
      <c r="I65" s="45" t="s">
        <v>52</v>
      </c>
      <c r="J65" s="37" t="s">
        <v>53</v>
      </c>
      <c r="K65" s="33" t="s">
        <v>54</v>
      </c>
      <c r="L65" s="41" t="s">
        <v>55</v>
      </c>
      <c r="M65" s="37" t="s">
        <v>53</v>
      </c>
    </row>
    <row r="66" ht="81" customHeight="1" spans="1:13" x14ac:dyDescent="0.25">
      <c r="A66" s="27">
        <v>37</v>
      </c>
      <c r="B66" s="28" t="s">
        <v>247</v>
      </c>
      <c r="C66" s="29" t="s">
        <v>248</v>
      </c>
      <c r="D66" s="30" t="s">
        <v>249</v>
      </c>
      <c r="E66" s="29" t="s">
        <v>250</v>
      </c>
      <c r="F66" s="29" t="s">
        <v>251</v>
      </c>
      <c r="G66" s="27" t="s">
        <v>50</v>
      </c>
      <c r="H66" s="43" t="s">
        <v>62</v>
      </c>
      <c r="I66" s="32" t="s">
        <v>52</v>
      </c>
      <c r="J66" s="29" t="s">
        <v>53</v>
      </c>
      <c r="K66" s="33" t="s">
        <v>54</v>
      </c>
      <c r="L66" s="34" t="s">
        <v>55</v>
      </c>
      <c r="M66" s="29" t="s">
        <v>53</v>
      </c>
    </row>
    <row r="67" ht="81" customHeight="1" spans="1:13" x14ac:dyDescent="0.25">
      <c r="A67" s="35">
        <v>38</v>
      </c>
      <c r="B67" s="36" t="s">
        <v>252</v>
      </c>
      <c r="C67" s="37" t="s">
        <v>253</v>
      </c>
      <c r="D67" s="38" t="s">
        <v>254</v>
      </c>
      <c r="E67" s="37" t="s">
        <v>255</v>
      </c>
      <c r="F67" s="37" t="s">
        <v>256</v>
      </c>
      <c r="G67" s="35" t="s">
        <v>50</v>
      </c>
      <c r="H67" s="39" t="s">
        <v>62</v>
      </c>
      <c r="I67" s="40" t="s">
        <v>63</v>
      </c>
      <c r="J67" s="37" t="s">
        <v>53</v>
      </c>
      <c r="K67" s="33" t="s">
        <v>54</v>
      </c>
      <c r="L67" s="41" t="s">
        <v>55</v>
      </c>
      <c r="M67" s="37" t="s">
        <v>53</v>
      </c>
    </row>
    <row r="68" ht="96" customHeight="1" spans="1:13" x14ac:dyDescent="0.25">
      <c r="A68" s="27">
        <v>39</v>
      </c>
      <c r="B68" s="28" t="s">
        <v>257</v>
      </c>
      <c r="C68" s="29" t="s">
        <v>258</v>
      </c>
      <c r="D68" s="30" t="s">
        <v>259</v>
      </c>
      <c r="E68" s="29" t="s">
        <v>260</v>
      </c>
      <c r="F68" s="29" t="s">
        <v>261</v>
      </c>
      <c r="G68" s="27" t="s">
        <v>61</v>
      </c>
      <c r="H68" s="43" t="s">
        <v>62</v>
      </c>
      <c r="I68" s="32" t="s">
        <v>52</v>
      </c>
      <c r="J68" s="29" t="s">
        <v>53</v>
      </c>
      <c r="K68" s="33" t="s">
        <v>54</v>
      </c>
      <c r="L68" s="34" t="s">
        <v>55</v>
      </c>
      <c r="M68" s="29" t="s">
        <v>53</v>
      </c>
    </row>
    <row r="69" ht="96" customHeight="1" spans="1:13" x14ac:dyDescent="0.25">
      <c r="A69" s="35">
        <v>40</v>
      </c>
      <c r="B69" s="36" t="s">
        <v>257</v>
      </c>
      <c r="C69" s="37" t="s">
        <v>262</v>
      </c>
      <c r="D69" s="38" t="s">
        <v>259</v>
      </c>
      <c r="E69" s="37" t="s">
        <v>260</v>
      </c>
      <c r="F69" s="37" t="s">
        <v>261</v>
      </c>
      <c r="G69" s="35" t="s">
        <v>61</v>
      </c>
      <c r="H69" s="39" t="s">
        <v>62</v>
      </c>
      <c r="I69" s="45" t="s">
        <v>52</v>
      </c>
      <c r="J69" s="37" t="s">
        <v>53</v>
      </c>
      <c r="K69" s="33" t="s">
        <v>54</v>
      </c>
      <c r="L69" s="41" t="s">
        <v>55</v>
      </c>
      <c r="M69" s="37" t="s">
        <v>53</v>
      </c>
    </row>
    <row r="70" ht="96" customHeight="1" spans="1:13" x14ac:dyDescent="0.25">
      <c r="A70" s="27">
        <v>41</v>
      </c>
      <c r="B70" s="28" t="s">
        <v>257</v>
      </c>
      <c r="C70" s="29" t="s">
        <v>263</v>
      </c>
      <c r="D70" s="30" t="s">
        <v>259</v>
      </c>
      <c r="E70" s="29" t="s">
        <v>260</v>
      </c>
      <c r="F70" s="29" t="s">
        <v>261</v>
      </c>
      <c r="G70" s="27" t="s">
        <v>61</v>
      </c>
      <c r="H70" s="43" t="s">
        <v>62</v>
      </c>
      <c r="I70" s="32" t="s">
        <v>52</v>
      </c>
      <c r="J70" s="29" t="s">
        <v>53</v>
      </c>
      <c r="K70" s="33" t="s">
        <v>54</v>
      </c>
      <c r="L70" s="34" t="s">
        <v>55</v>
      </c>
      <c r="M70" s="29" t="s">
        <v>53</v>
      </c>
    </row>
    <row r="71" ht="96" customHeight="1" spans="1:13" x14ac:dyDescent="0.25">
      <c r="A71" s="35">
        <v>42</v>
      </c>
      <c r="B71" s="36" t="s">
        <v>257</v>
      </c>
      <c r="C71" s="37" t="s">
        <v>264</v>
      </c>
      <c r="D71" s="38" t="s">
        <v>259</v>
      </c>
      <c r="E71" s="37" t="s">
        <v>260</v>
      </c>
      <c r="F71" s="37" t="s">
        <v>261</v>
      </c>
      <c r="G71" s="35" t="s">
        <v>61</v>
      </c>
      <c r="H71" s="39" t="s">
        <v>62</v>
      </c>
      <c r="I71" s="45" t="s">
        <v>52</v>
      </c>
      <c r="J71" s="37" t="s">
        <v>53</v>
      </c>
      <c r="K71" s="33" t="s">
        <v>54</v>
      </c>
      <c r="L71" s="41" t="s">
        <v>55</v>
      </c>
      <c r="M71" s="37" t="s">
        <v>53</v>
      </c>
    </row>
    <row r="72" ht="66" customHeight="1" spans="1:13" x14ac:dyDescent="0.25">
      <c r="A72" s="27">
        <v>43</v>
      </c>
      <c r="B72" s="28" t="s">
        <v>265</v>
      </c>
      <c r="C72" s="29" t="s">
        <v>266</v>
      </c>
      <c r="D72" s="30" t="s">
        <v>267</v>
      </c>
      <c r="E72" s="29" t="s">
        <v>268</v>
      </c>
      <c r="F72" s="29" t="s">
        <v>269</v>
      </c>
      <c r="G72" s="27" t="s">
        <v>61</v>
      </c>
      <c r="H72" s="43" t="s">
        <v>62</v>
      </c>
      <c r="I72" s="46" t="s">
        <v>63</v>
      </c>
      <c r="J72" s="29" t="s">
        <v>53</v>
      </c>
      <c r="K72" s="33" t="s">
        <v>54</v>
      </c>
      <c r="L72" s="34" t="s">
        <v>55</v>
      </c>
      <c r="M72" s="29" t="s">
        <v>53</v>
      </c>
    </row>
    <row r="73" ht="66" customHeight="1" spans="1:13" x14ac:dyDescent="0.25">
      <c r="A73" s="35">
        <v>44</v>
      </c>
      <c r="B73" s="36" t="s">
        <v>265</v>
      </c>
      <c r="C73" s="37" t="s">
        <v>270</v>
      </c>
      <c r="D73" s="38" t="s">
        <v>267</v>
      </c>
      <c r="E73" s="37" t="s">
        <v>268</v>
      </c>
      <c r="F73" s="37" t="s">
        <v>269</v>
      </c>
      <c r="G73" s="35" t="s">
        <v>61</v>
      </c>
      <c r="H73" s="39" t="s">
        <v>62</v>
      </c>
      <c r="I73" s="40" t="s">
        <v>63</v>
      </c>
      <c r="J73" s="37" t="s">
        <v>53</v>
      </c>
      <c r="K73" s="33" t="s">
        <v>54</v>
      </c>
      <c r="L73" s="41" t="s">
        <v>55</v>
      </c>
      <c r="M73" s="37" t="s">
        <v>53</v>
      </c>
    </row>
    <row r="74" ht="66" customHeight="1" spans="1:13" x14ac:dyDescent="0.25">
      <c r="A74" s="27">
        <v>45</v>
      </c>
      <c r="B74" s="28" t="s">
        <v>265</v>
      </c>
      <c r="C74" s="29" t="s">
        <v>271</v>
      </c>
      <c r="D74" s="30" t="s">
        <v>267</v>
      </c>
      <c r="E74" s="29" t="s">
        <v>268</v>
      </c>
      <c r="F74" s="29" t="s">
        <v>269</v>
      </c>
      <c r="G74" s="27" t="s">
        <v>61</v>
      </c>
      <c r="H74" s="43" t="s">
        <v>62</v>
      </c>
      <c r="I74" s="46" t="s">
        <v>63</v>
      </c>
      <c r="J74" s="29" t="s">
        <v>53</v>
      </c>
      <c r="K74" s="33" t="s">
        <v>54</v>
      </c>
      <c r="L74" s="34" t="s">
        <v>55</v>
      </c>
      <c r="M74" s="29" t="s">
        <v>53</v>
      </c>
    </row>
    <row r="75" ht="81" customHeight="1" spans="1:13" x14ac:dyDescent="0.25">
      <c r="A75" s="35">
        <v>46</v>
      </c>
      <c r="B75" s="36" t="s">
        <v>272</v>
      </c>
      <c r="C75" s="37" t="s">
        <v>273</v>
      </c>
      <c r="D75" s="38" t="s">
        <v>274</v>
      </c>
      <c r="E75" s="37" t="s">
        <v>275</v>
      </c>
      <c r="F75" s="37" t="s">
        <v>276</v>
      </c>
      <c r="G75" s="35" t="s">
        <v>61</v>
      </c>
      <c r="H75" s="39" t="s">
        <v>62</v>
      </c>
      <c r="I75" s="40" t="s">
        <v>63</v>
      </c>
      <c r="J75" s="37" t="s">
        <v>53</v>
      </c>
      <c r="K75" s="33" t="s">
        <v>54</v>
      </c>
      <c r="L75" s="41" t="s">
        <v>55</v>
      </c>
      <c r="M75" s="37" t="s">
        <v>53</v>
      </c>
    </row>
    <row r="76" ht="81" customHeight="1" spans="1:13" x14ac:dyDescent="0.25">
      <c r="A76" s="27">
        <v>47</v>
      </c>
      <c r="B76" s="28" t="s">
        <v>277</v>
      </c>
      <c r="C76" s="29" t="s">
        <v>278</v>
      </c>
      <c r="D76" s="30" t="s">
        <v>279</v>
      </c>
      <c r="E76" s="29" t="s">
        <v>280</v>
      </c>
      <c r="F76" s="29" t="s">
        <v>281</v>
      </c>
      <c r="G76" s="27" t="s">
        <v>61</v>
      </c>
      <c r="H76" s="43" t="s">
        <v>62</v>
      </c>
      <c r="I76" s="49" t="s">
        <v>213</v>
      </c>
      <c r="J76" s="29" t="s">
        <v>53</v>
      </c>
      <c r="K76" s="33" t="s">
        <v>54</v>
      </c>
      <c r="L76" s="34" t="s">
        <v>55</v>
      </c>
      <c r="M76" s="29" t="s">
        <v>53</v>
      </c>
    </row>
    <row r="77" ht="81" customHeight="1" spans="1:13" x14ac:dyDescent="0.25">
      <c r="A77" s="35">
        <v>48</v>
      </c>
      <c r="B77" s="36" t="s">
        <v>282</v>
      </c>
      <c r="C77" s="37" t="s">
        <v>283</v>
      </c>
      <c r="D77" s="38" t="s">
        <v>284</v>
      </c>
      <c r="E77" s="37" t="s">
        <v>285</v>
      </c>
      <c r="F77" s="37" t="s">
        <v>286</v>
      </c>
      <c r="G77" s="35" t="s">
        <v>50</v>
      </c>
      <c r="H77" s="39" t="s">
        <v>62</v>
      </c>
      <c r="I77" s="47" t="s">
        <v>213</v>
      </c>
      <c r="J77" s="37" t="s">
        <v>53</v>
      </c>
      <c r="K77" s="33" t="s">
        <v>54</v>
      </c>
      <c r="L77" s="41" t="s">
        <v>55</v>
      </c>
      <c r="M77" s="37" t="s">
        <v>53</v>
      </c>
    </row>
    <row r="78" ht="66" customHeight="1" spans="1:13" x14ac:dyDescent="0.25">
      <c r="A78" s="27">
        <v>49</v>
      </c>
      <c r="B78" s="28" t="s">
        <v>287</v>
      </c>
      <c r="C78" s="29" t="s">
        <v>288</v>
      </c>
      <c r="D78" s="30" t="s">
        <v>289</v>
      </c>
      <c r="E78" s="29" t="s">
        <v>290</v>
      </c>
      <c r="F78" s="29" t="s">
        <v>291</v>
      </c>
      <c r="G78" s="27" t="s">
        <v>61</v>
      </c>
      <c r="H78" s="43" t="s">
        <v>62</v>
      </c>
      <c r="I78" s="32" t="s">
        <v>52</v>
      </c>
      <c r="J78" s="29" t="s">
        <v>53</v>
      </c>
      <c r="K78" s="33" t="s">
        <v>54</v>
      </c>
      <c r="L78" s="34" t="s">
        <v>55</v>
      </c>
      <c r="M78" s="29" t="s">
        <v>53</v>
      </c>
    </row>
    <row r="79" ht="81" customHeight="1" spans="1:13" x14ac:dyDescent="0.25">
      <c r="A79" s="35">
        <v>50</v>
      </c>
      <c r="B79" s="36" t="s">
        <v>292</v>
      </c>
      <c r="C79" s="37" t="s">
        <v>293</v>
      </c>
      <c r="D79" s="38" t="s">
        <v>294</v>
      </c>
      <c r="E79" s="37" t="s">
        <v>295</v>
      </c>
      <c r="F79" s="37" t="s">
        <v>296</v>
      </c>
      <c r="G79" s="35" t="s">
        <v>61</v>
      </c>
      <c r="H79" s="39" t="s">
        <v>62</v>
      </c>
      <c r="I79" s="45" t="s">
        <v>52</v>
      </c>
      <c r="J79" s="37" t="s">
        <v>53</v>
      </c>
      <c r="K79" s="33" t="s">
        <v>54</v>
      </c>
      <c r="L79" s="41" t="s">
        <v>55</v>
      </c>
      <c r="M79" s="37" t="s">
        <v>53</v>
      </c>
    </row>
    <row r="80" ht="66" customHeight="1" spans="1:13" x14ac:dyDescent="0.25">
      <c r="A80" s="27">
        <v>51</v>
      </c>
      <c r="B80" s="28" t="s">
        <v>297</v>
      </c>
      <c r="C80" s="29" t="s">
        <v>298</v>
      </c>
      <c r="D80" s="30" t="s">
        <v>299</v>
      </c>
      <c r="E80" s="29" t="s">
        <v>300</v>
      </c>
      <c r="F80" s="29" t="s">
        <v>301</v>
      </c>
      <c r="G80" s="27" t="s">
        <v>61</v>
      </c>
      <c r="H80" s="43" t="s">
        <v>62</v>
      </c>
      <c r="I80" s="46" t="s">
        <v>63</v>
      </c>
      <c r="J80" s="29" t="s">
        <v>53</v>
      </c>
      <c r="K80" s="33" t="s">
        <v>54</v>
      </c>
      <c r="L80" s="34" t="s">
        <v>55</v>
      </c>
      <c r="M80" s="29" t="s">
        <v>53</v>
      </c>
    </row>
    <row r="81" ht="81" customHeight="1" spans="1:13" x14ac:dyDescent="0.25">
      <c r="A81" s="35">
        <v>52</v>
      </c>
      <c r="B81" s="36" t="s">
        <v>302</v>
      </c>
      <c r="C81" s="37" t="s">
        <v>303</v>
      </c>
      <c r="D81" s="38" t="s">
        <v>304</v>
      </c>
      <c r="E81" s="37" t="s">
        <v>305</v>
      </c>
      <c r="F81" s="37" t="s">
        <v>306</v>
      </c>
      <c r="G81" s="35" t="s">
        <v>61</v>
      </c>
      <c r="H81" s="39" t="s">
        <v>62</v>
      </c>
      <c r="I81" s="40" t="s">
        <v>63</v>
      </c>
      <c r="J81" s="37" t="s">
        <v>53</v>
      </c>
      <c r="K81" s="33" t="s">
        <v>54</v>
      </c>
      <c r="L81" s="41" t="s">
        <v>55</v>
      </c>
      <c r="M81" s="37" t="s">
        <v>53</v>
      </c>
    </row>
    <row r="82" ht="81" customHeight="1" spans="1:13" x14ac:dyDescent="0.25">
      <c r="A82" s="27">
        <v>53</v>
      </c>
      <c r="B82" s="28" t="s">
        <v>307</v>
      </c>
      <c r="C82" s="29" t="s">
        <v>308</v>
      </c>
      <c r="D82" s="30" t="s">
        <v>309</v>
      </c>
      <c r="E82" s="29" t="s">
        <v>310</v>
      </c>
      <c r="F82" s="29" t="s">
        <v>276</v>
      </c>
      <c r="G82" s="27" t="s">
        <v>61</v>
      </c>
      <c r="H82" s="43" t="s">
        <v>62</v>
      </c>
      <c r="I82" s="49" t="s">
        <v>213</v>
      </c>
      <c r="J82" s="29" t="s">
        <v>53</v>
      </c>
      <c r="K82" s="33" t="s">
        <v>54</v>
      </c>
      <c r="L82" s="34" t="s">
        <v>55</v>
      </c>
      <c r="M82" s="29" t="s">
        <v>53</v>
      </c>
    </row>
    <row r="83" ht="66" customHeight="1" spans="1:13" x14ac:dyDescent="0.25">
      <c r="A83" s="35">
        <v>54</v>
      </c>
      <c r="B83" s="36" t="s">
        <v>311</v>
      </c>
      <c r="C83" s="37" t="s">
        <v>312</v>
      </c>
      <c r="D83" s="38" t="s">
        <v>313</v>
      </c>
      <c r="E83" s="37" t="s">
        <v>314</v>
      </c>
      <c r="F83" s="37" t="s">
        <v>315</v>
      </c>
      <c r="G83" s="35" t="s">
        <v>61</v>
      </c>
      <c r="H83" s="39" t="s">
        <v>62</v>
      </c>
      <c r="I83" s="40" t="s">
        <v>63</v>
      </c>
      <c r="J83" s="37" t="s">
        <v>53</v>
      </c>
      <c r="K83" s="33" t="s">
        <v>54</v>
      </c>
      <c r="L83" s="41" t="s">
        <v>55</v>
      </c>
      <c r="M83" s="37" t="s">
        <v>53</v>
      </c>
    </row>
    <row r="84" ht="156" customHeight="1" spans="1:13" x14ac:dyDescent="0.25">
      <c r="A84" s="27">
        <v>55</v>
      </c>
      <c r="B84" s="28" t="s">
        <v>316</v>
      </c>
      <c r="C84" s="29" t="s">
        <v>317</v>
      </c>
      <c r="D84" s="30" t="s">
        <v>318</v>
      </c>
      <c r="E84" s="29" t="s">
        <v>319</v>
      </c>
      <c r="F84" s="29" t="s">
        <v>320</v>
      </c>
      <c r="G84" s="27" t="s">
        <v>173</v>
      </c>
      <c r="H84" s="31" t="s">
        <v>51</v>
      </c>
      <c r="I84" s="44" t="s">
        <v>78</v>
      </c>
      <c r="J84" s="29" t="s">
        <v>321</v>
      </c>
      <c r="K84" s="33" t="s">
        <v>54</v>
      </c>
      <c r="L84" s="34" t="s">
        <v>55</v>
      </c>
      <c r="M84" s="29" t="s">
        <v>53</v>
      </c>
    </row>
    <row r="86" ht="28" customHeight="1" spans="1:13" x14ac:dyDescent="0.25">
      <c r="A86" s="23" t="s">
        <v>322</v>
      </c>
      <c r="B86" s="23"/>
      <c r="C86" s="23"/>
      <c r="D86" s="23"/>
      <c r="E86" s="23"/>
      <c r="F86" s="23"/>
      <c r="G86" s="23"/>
      <c r="H86" s="23"/>
      <c r="I86" s="23"/>
      <c r="J86" s="23"/>
      <c r="K86" s="23"/>
      <c r="L86" s="23"/>
      <c r="M86" s="24" t="str">
        <f>HYPERLINK("#'Test Cases'!A5","↑ Summary")</f>
        <v>↑ Summary</v>
      </c>
    </row>
    <row r="87" ht="18" customHeight="1" spans="1:13" x14ac:dyDescent="0.25">
      <c r="A87" s="25" t="s">
        <v>323</v>
      </c>
      <c r="B87" s="25"/>
      <c r="C87" s="25"/>
      <c r="D87" s="25"/>
      <c r="E87" s="25"/>
      <c r="F87" s="25"/>
      <c r="G87" s="25"/>
      <c r="H87" s="25"/>
      <c r="I87" s="25"/>
      <c r="J87" s="25"/>
      <c r="K87" s="25"/>
      <c r="L87" s="25"/>
      <c r="M87" s="25"/>
    </row>
    <row r="88" ht="30" customHeight="1" spans="1:13" x14ac:dyDescent="0.25">
      <c r="A88" s="26" t="s">
        <v>32</v>
      </c>
      <c r="B88" s="26" t="s">
        <v>33</v>
      </c>
      <c r="C88" s="26" t="s">
        <v>34</v>
      </c>
      <c r="D88" s="26" t="s">
        <v>35</v>
      </c>
      <c r="E88" s="26" t="s">
        <v>36</v>
      </c>
      <c r="F88" s="26" t="s">
        <v>37</v>
      </c>
      <c r="G88" s="26" t="s">
        <v>38</v>
      </c>
      <c r="H88" s="26" t="s">
        <v>39</v>
      </c>
      <c r="I88" s="26" t="s">
        <v>40</v>
      </c>
      <c r="J88" s="26" t="s">
        <v>41</v>
      </c>
      <c r="K88" s="26" t="s">
        <v>42</v>
      </c>
      <c r="L88" s="26" t="s">
        <v>43</v>
      </c>
      <c r="M88" s="26" t="s">
        <v>44</v>
      </c>
    </row>
    <row r="89" ht="66" customHeight="1" spans="1:13" x14ac:dyDescent="0.25">
      <c r="A89" s="27">
        <v>1</v>
      </c>
      <c r="B89" s="28" t="s">
        <v>324</v>
      </c>
      <c r="C89" s="29" t="s">
        <v>325</v>
      </c>
      <c r="D89" s="30" t="s">
        <v>326</v>
      </c>
      <c r="E89" s="29" t="s">
        <v>327</v>
      </c>
      <c r="F89" s="29" t="s">
        <v>328</v>
      </c>
      <c r="G89" s="27" t="s">
        <v>77</v>
      </c>
      <c r="H89" s="43" t="s">
        <v>62</v>
      </c>
      <c r="I89" s="44" t="s">
        <v>78</v>
      </c>
      <c r="J89" s="29" t="s">
        <v>150</v>
      </c>
      <c r="K89" s="33" t="s">
        <v>54</v>
      </c>
      <c r="L89" s="34" t="s">
        <v>55</v>
      </c>
      <c r="M89" s="29" t="s">
        <v>53</v>
      </c>
    </row>
    <row r="90" ht="81" customHeight="1" spans="1:13" x14ac:dyDescent="0.25">
      <c r="A90" s="35">
        <v>2</v>
      </c>
      <c r="B90" s="36" t="s">
        <v>329</v>
      </c>
      <c r="C90" s="37" t="s">
        <v>330</v>
      </c>
      <c r="D90" s="38" t="s">
        <v>331</v>
      </c>
      <c r="E90" s="37" t="s">
        <v>332</v>
      </c>
      <c r="F90" s="37" t="s">
        <v>333</v>
      </c>
      <c r="G90" s="35" t="s">
        <v>77</v>
      </c>
      <c r="H90" s="39" t="s">
        <v>62</v>
      </c>
      <c r="I90" s="42" t="s">
        <v>78</v>
      </c>
      <c r="J90" s="37" t="s">
        <v>150</v>
      </c>
      <c r="K90" s="33" t="s">
        <v>54</v>
      </c>
      <c r="L90" s="41" t="s">
        <v>55</v>
      </c>
      <c r="M90" s="37" t="s">
        <v>53</v>
      </c>
    </row>
    <row r="91" ht="66" customHeight="1" spans="1:13" x14ac:dyDescent="0.25">
      <c r="A91" s="27">
        <v>3</v>
      </c>
      <c r="B91" s="28" t="s">
        <v>334</v>
      </c>
      <c r="C91" s="29" t="s">
        <v>335</v>
      </c>
      <c r="D91" s="30" t="s">
        <v>336</v>
      </c>
      <c r="E91" s="29" t="s">
        <v>337</v>
      </c>
      <c r="F91" s="29" t="s">
        <v>338</v>
      </c>
      <c r="G91" s="27" t="s">
        <v>50</v>
      </c>
      <c r="H91" s="43" t="s">
        <v>62</v>
      </c>
      <c r="I91" s="32" t="s">
        <v>52</v>
      </c>
      <c r="J91" s="29" t="s">
        <v>150</v>
      </c>
      <c r="K91" s="33" t="s">
        <v>54</v>
      </c>
      <c r="L91" s="34" t="s">
        <v>55</v>
      </c>
      <c r="M91" s="29" t="s">
        <v>53</v>
      </c>
    </row>
    <row r="92" ht="81" customHeight="1" spans="1:13" x14ac:dyDescent="0.25">
      <c r="A92" s="35">
        <v>4</v>
      </c>
      <c r="B92" s="36" t="s">
        <v>339</v>
      </c>
      <c r="C92" s="37" t="s">
        <v>340</v>
      </c>
      <c r="D92" s="38" t="s">
        <v>341</v>
      </c>
      <c r="E92" s="37" t="s">
        <v>342</v>
      </c>
      <c r="F92" s="37" t="s">
        <v>343</v>
      </c>
      <c r="G92" s="35" t="s">
        <v>77</v>
      </c>
      <c r="H92" s="39" t="s">
        <v>62</v>
      </c>
      <c r="I92" s="40" t="s">
        <v>63</v>
      </c>
      <c r="J92" s="37" t="s">
        <v>150</v>
      </c>
      <c r="K92" s="33" t="s">
        <v>54</v>
      </c>
      <c r="L92" s="41" t="s">
        <v>55</v>
      </c>
      <c r="M92" s="37" t="s">
        <v>53</v>
      </c>
    </row>
    <row r="93" ht="66" customHeight="1" spans="1:13" x14ac:dyDescent="0.25">
      <c r="A93" s="27">
        <v>5</v>
      </c>
      <c r="B93" s="28" t="s">
        <v>344</v>
      </c>
      <c r="C93" s="29" t="s">
        <v>345</v>
      </c>
      <c r="D93" s="30" t="s">
        <v>346</v>
      </c>
      <c r="E93" s="29" t="s">
        <v>347</v>
      </c>
      <c r="F93" s="29" t="s">
        <v>348</v>
      </c>
      <c r="G93" s="27" t="s">
        <v>50</v>
      </c>
      <c r="H93" s="31" t="s">
        <v>51</v>
      </c>
      <c r="I93" s="32" t="s">
        <v>52</v>
      </c>
      <c r="J93" s="29" t="s">
        <v>53</v>
      </c>
      <c r="K93" s="33" t="s">
        <v>54</v>
      </c>
      <c r="L93" s="34" t="s">
        <v>55</v>
      </c>
      <c r="M93" s="29" t="s">
        <v>53</v>
      </c>
    </row>
    <row r="94" ht="81" customHeight="1" spans="1:13" x14ac:dyDescent="0.25">
      <c r="A94" s="35">
        <v>6</v>
      </c>
      <c r="B94" s="36" t="s">
        <v>349</v>
      </c>
      <c r="C94" s="37" t="s">
        <v>350</v>
      </c>
      <c r="D94" s="38" t="s">
        <v>351</v>
      </c>
      <c r="E94" s="37" t="s">
        <v>352</v>
      </c>
      <c r="F94" s="37" t="s">
        <v>353</v>
      </c>
      <c r="G94" s="35" t="s">
        <v>50</v>
      </c>
      <c r="H94" s="39" t="s">
        <v>62</v>
      </c>
      <c r="I94" s="45" t="s">
        <v>52</v>
      </c>
      <c r="J94" s="37" t="s">
        <v>202</v>
      </c>
      <c r="K94" s="33" t="s">
        <v>54</v>
      </c>
      <c r="L94" s="41" t="s">
        <v>55</v>
      </c>
      <c r="M94" s="37" t="s">
        <v>53</v>
      </c>
    </row>
    <row r="95" ht="51" customHeight="1" spans="1:13" x14ac:dyDescent="0.25">
      <c r="A95" s="27">
        <v>7</v>
      </c>
      <c r="B95" s="28" t="s">
        <v>354</v>
      </c>
      <c r="C95" s="29" t="s">
        <v>355</v>
      </c>
      <c r="D95" s="30" t="s">
        <v>356</v>
      </c>
      <c r="E95" s="29" t="s">
        <v>357</v>
      </c>
      <c r="F95" s="29" t="s">
        <v>358</v>
      </c>
      <c r="G95" s="27" t="s">
        <v>50</v>
      </c>
      <c r="H95" s="43" t="s">
        <v>62</v>
      </c>
      <c r="I95" s="46" t="s">
        <v>63</v>
      </c>
      <c r="J95" s="29" t="s">
        <v>53</v>
      </c>
      <c r="K95" s="33" t="s">
        <v>54</v>
      </c>
      <c r="L95" s="34" t="s">
        <v>55</v>
      </c>
      <c r="M95" s="29" t="s">
        <v>53</v>
      </c>
    </row>
    <row r="96" ht="66" customHeight="1" spans="1:13" x14ac:dyDescent="0.25">
      <c r="A96" s="35">
        <v>8</v>
      </c>
      <c r="B96" s="36" t="s">
        <v>359</v>
      </c>
      <c r="C96" s="37" t="s">
        <v>360</v>
      </c>
      <c r="D96" s="38" t="s">
        <v>361</v>
      </c>
      <c r="E96" s="37" t="s">
        <v>362</v>
      </c>
      <c r="F96" s="37" t="s">
        <v>363</v>
      </c>
      <c r="G96" s="35" t="s">
        <v>50</v>
      </c>
      <c r="H96" s="39" t="s">
        <v>62</v>
      </c>
      <c r="I96" s="45" t="s">
        <v>52</v>
      </c>
      <c r="J96" s="37" t="s">
        <v>53</v>
      </c>
      <c r="K96" s="33" t="s">
        <v>54</v>
      </c>
      <c r="L96" s="41" t="s">
        <v>55</v>
      </c>
      <c r="M96" s="37" t="s">
        <v>53</v>
      </c>
    </row>
    <row r="97" ht="66" customHeight="1" spans="1:13" x14ac:dyDescent="0.25">
      <c r="A97" s="27">
        <v>9</v>
      </c>
      <c r="B97" s="28" t="s">
        <v>364</v>
      </c>
      <c r="C97" s="29" t="s">
        <v>365</v>
      </c>
      <c r="D97" s="30" t="s">
        <v>366</v>
      </c>
      <c r="E97" s="29" t="s">
        <v>367</v>
      </c>
      <c r="F97" s="29" t="s">
        <v>368</v>
      </c>
      <c r="G97" s="27" t="s">
        <v>61</v>
      </c>
      <c r="H97" s="43" t="s">
        <v>62</v>
      </c>
      <c r="I97" s="32" t="s">
        <v>52</v>
      </c>
      <c r="J97" s="29" t="s">
        <v>53</v>
      </c>
      <c r="K97" s="33" t="s">
        <v>54</v>
      </c>
      <c r="L97" s="34" t="s">
        <v>55</v>
      </c>
      <c r="M97" s="29" t="s">
        <v>53</v>
      </c>
    </row>
    <row r="98" ht="51" customHeight="1" spans="1:13" x14ac:dyDescent="0.25">
      <c r="A98" s="35">
        <v>10</v>
      </c>
      <c r="B98" s="36" t="s">
        <v>369</v>
      </c>
      <c r="C98" s="37" t="s">
        <v>370</v>
      </c>
      <c r="D98" s="38" t="s">
        <v>371</v>
      </c>
      <c r="E98" s="37" t="s">
        <v>372</v>
      </c>
      <c r="F98" s="37" t="s">
        <v>368</v>
      </c>
      <c r="G98" s="35" t="s">
        <v>61</v>
      </c>
      <c r="H98" s="39" t="s">
        <v>62</v>
      </c>
      <c r="I98" s="45" t="s">
        <v>52</v>
      </c>
      <c r="J98" s="37" t="s">
        <v>53</v>
      </c>
      <c r="K98" s="33" t="s">
        <v>54</v>
      </c>
      <c r="L98" s="41" t="s">
        <v>55</v>
      </c>
      <c r="M98" s="37" t="s">
        <v>53</v>
      </c>
    </row>
    <row r="99" ht="66" customHeight="1" spans="1:13" x14ac:dyDescent="0.25">
      <c r="A99" s="27">
        <v>11</v>
      </c>
      <c r="B99" s="28" t="s">
        <v>373</v>
      </c>
      <c r="C99" s="29" t="s">
        <v>374</v>
      </c>
      <c r="D99" s="30" t="s">
        <v>375</v>
      </c>
      <c r="E99" s="29" t="s">
        <v>376</v>
      </c>
      <c r="F99" s="29" t="s">
        <v>377</v>
      </c>
      <c r="G99" s="27" t="s">
        <v>61</v>
      </c>
      <c r="H99" s="43" t="s">
        <v>62</v>
      </c>
      <c r="I99" s="46" t="s">
        <v>63</v>
      </c>
      <c r="J99" s="29" t="s">
        <v>53</v>
      </c>
      <c r="K99" s="33" t="s">
        <v>54</v>
      </c>
      <c r="L99" s="34" t="s">
        <v>55</v>
      </c>
      <c r="M99" s="29" t="s">
        <v>53</v>
      </c>
    </row>
    <row r="100" ht="81" customHeight="1" spans="1:13" x14ac:dyDescent="0.25">
      <c r="A100" s="35">
        <v>12</v>
      </c>
      <c r="B100" s="36" t="s">
        <v>378</v>
      </c>
      <c r="C100" s="37" t="s">
        <v>379</v>
      </c>
      <c r="D100" s="38" t="s">
        <v>380</v>
      </c>
      <c r="E100" s="37" t="s">
        <v>381</v>
      </c>
      <c r="F100" s="37" t="s">
        <v>382</v>
      </c>
      <c r="G100" s="35" t="s">
        <v>61</v>
      </c>
      <c r="H100" s="39" t="s">
        <v>62</v>
      </c>
      <c r="I100" s="40" t="s">
        <v>63</v>
      </c>
      <c r="J100" s="37" t="s">
        <v>53</v>
      </c>
      <c r="K100" s="33" t="s">
        <v>54</v>
      </c>
      <c r="L100" s="41" t="s">
        <v>55</v>
      </c>
      <c r="M100" s="37" t="s">
        <v>53</v>
      </c>
    </row>
    <row r="101" ht="66" customHeight="1" spans="1:13" x14ac:dyDescent="0.25">
      <c r="A101" s="27">
        <v>13</v>
      </c>
      <c r="B101" s="28" t="s">
        <v>383</v>
      </c>
      <c r="C101" s="29" t="s">
        <v>384</v>
      </c>
      <c r="D101" s="30" t="s">
        <v>385</v>
      </c>
      <c r="E101" s="29" t="s">
        <v>386</v>
      </c>
      <c r="F101" s="29" t="s">
        <v>387</v>
      </c>
      <c r="G101" s="27" t="s">
        <v>50</v>
      </c>
      <c r="H101" s="43" t="s">
        <v>62</v>
      </c>
      <c r="I101" s="49" t="s">
        <v>213</v>
      </c>
      <c r="J101" s="29" t="s">
        <v>53</v>
      </c>
      <c r="K101" s="33" t="s">
        <v>54</v>
      </c>
      <c r="L101" s="34" t="s">
        <v>55</v>
      </c>
      <c r="M101" s="29" t="s">
        <v>53</v>
      </c>
    </row>
    <row r="102" ht="66" customHeight="1" spans="1:13" x14ac:dyDescent="0.25">
      <c r="A102" s="35">
        <v>14</v>
      </c>
      <c r="B102" s="36" t="s">
        <v>388</v>
      </c>
      <c r="C102" s="37" t="s">
        <v>389</v>
      </c>
      <c r="D102" s="38" t="s">
        <v>390</v>
      </c>
      <c r="E102" s="37" t="s">
        <v>391</v>
      </c>
      <c r="F102" s="37" t="s">
        <v>392</v>
      </c>
      <c r="G102" s="35" t="s">
        <v>77</v>
      </c>
      <c r="H102" s="39" t="s">
        <v>62</v>
      </c>
      <c r="I102" s="42" t="s">
        <v>78</v>
      </c>
      <c r="J102" s="37" t="s">
        <v>236</v>
      </c>
      <c r="K102" s="33" t="s">
        <v>54</v>
      </c>
      <c r="L102" s="41" t="s">
        <v>55</v>
      </c>
      <c r="M102" s="37" t="s">
        <v>53</v>
      </c>
    </row>
    <row r="103" ht="81" customHeight="1" spans="1:13" x14ac:dyDescent="0.25">
      <c r="A103" s="27">
        <v>15</v>
      </c>
      <c r="B103" s="28" t="s">
        <v>393</v>
      </c>
      <c r="C103" s="29" t="s">
        <v>394</v>
      </c>
      <c r="D103" s="30" t="s">
        <v>395</v>
      </c>
      <c r="E103" s="29" t="s">
        <v>396</v>
      </c>
      <c r="F103" s="29" t="s">
        <v>397</v>
      </c>
      <c r="G103" s="27" t="s">
        <v>50</v>
      </c>
      <c r="H103" s="43" t="s">
        <v>62</v>
      </c>
      <c r="I103" s="32" t="s">
        <v>52</v>
      </c>
      <c r="J103" s="29" t="s">
        <v>139</v>
      </c>
      <c r="K103" s="33" t="s">
        <v>54</v>
      </c>
      <c r="L103" s="34" t="s">
        <v>55</v>
      </c>
      <c r="M103" s="29" t="s">
        <v>53</v>
      </c>
    </row>
    <row r="105" ht="28" customHeight="1" spans="1:13" x14ac:dyDescent="0.25">
      <c r="A105" s="23" t="s">
        <v>398</v>
      </c>
      <c r="B105" s="23"/>
      <c r="C105" s="23"/>
      <c r="D105" s="23"/>
      <c r="E105" s="23"/>
      <c r="F105" s="23"/>
      <c r="G105" s="23"/>
      <c r="H105" s="23"/>
      <c r="I105" s="23"/>
      <c r="J105" s="23"/>
      <c r="K105" s="23"/>
      <c r="L105" s="23"/>
      <c r="M105" s="24" t="str">
        <f>HYPERLINK("#'Test Cases'!A5","↑ Summary")</f>
        <v>↑ Summary</v>
      </c>
    </row>
    <row r="106" ht="18" customHeight="1" spans="1:13" x14ac:dyDescent="0.25">
      <c r="A106" s="25" t="s">
        <v>399</v>
      </c>
      <c r="B106" s="25"/>
      <c r="C106" s="25"/>
      <c r="D106" s="25"/>
      <c r="E106" s="25"/>
      <c r="F106" s="25"/>
      <c r="G106" s="25"/>
      <c r="H106" s="25"/>
      <c r="I106" s="25"/>
      <c r="J106" s="25"/>
      <c r="K106" s="25"/>
      <c r="L106" s="25"/>
      <c r="M106" s="25"/>
    </row>
    <row r="107" ht="30" customHeight="1" spans="1:13" x14ac:dyDescent="0.25">
      <c r="A107" s="26" t="s">
        <v>32</v>
      </c>
      <c r="B107" s="26" t="s">
        <v>33</v>
      </c>
      <c r="C107" s="26" t="s">
        <v>34</v>
      </c>
      <c r="D107" s="26" t="s">
        <v>35</v>
      </c>
      <c r="E107" s="26" t="s">
        <v>36</v>
      </c>
      <c r="F107" s="26" t="s">
        <v>37</v>
      </c>
      <c r="G107" s="26" t="s">
        <v>38</v>
      </c>
      <c r="H107" s="26" t="s">
        <v>39</v>
      </c>
      <c r="I107" s="26" t="s">
        <v>40</v>
      </c>
      <c r="J107" s="26" t="s">
        <v>41</v>
      </c>
      <c r="K107" s="26" t="s">
        <v>42</v>
      </c>
      <c r="L107" s="26" t="s">
        <v>43</v>
      </c>
      <c r="M107" s="26" t="s">
        <v>44</v>
      </c>
    </row>
    <row r="108" ht="81" customHeight="1" spans="1:13" x14ac:dyDescent="0.25">
      <c r="A108" s="27">
        <v>1</v>
      </c>
      <c r="B108" s="28" t="s">
        <v>400</v>
      </c>
      <c r="C108" s="29" t="s">
        <v>401</v>
      </c>
      <c r="D108" s="30" t="s">
        <v>402</v>
      </c>
      <c r="E108" s="29" t="s">
        <v>403</v>
      </c>
      <c r="F108" s="29" t="s">
        <v>404</v>
      </c>
      <c r="G108" s="27" t="s">
        <v>50</v>
      </c>
      <c r="H108" s="43" t="s">
        <v>62</v>
      </c>
      <c r="I108" s="32" t="s">
        <v>52</v>
      </c>
      <c r="J108" s="29" t="s">
        <v>150</v>
      </c>
      <c r="K108" s="33" t="s">
        <v>54</v>
      </c>
      <c r="L108" s="34" t="s">
        <v>55</v>
      </c>
      <c r="M108" s="29" t="s">
        <v>53</v>
      </c>
    </row>
    <row r="109" ht="81" customHeight="1" spans="1:13" x14ac:dyDescent="0.25">
      <c r="A109" s="35">
        <v>2</v>
      </c>
      <c r="B109" s="36" t="s">
        <v>405</v>
      </c>
      <c r="C109" s="37" t="s">
        <v>406</v>
      </c>
      <c r="D109" s="38" t="s">
        <v>407</v>
      </c>
      <c r="E109" s="37" t="s">
        <v>408</v>
      </c>
      <c r="F109" s="37" t="s">
        <v>409</v>
      </c>
      <c r="G109" s="35" t="s">
        <v>77</v>
      </c>
      <c r="H109" s="39" t="s">
        <v>62</v>
      </c>
      <c r="I109" s="42" t="s">
        <v>78</v>
      </c>
      <c r="J109" s="37" t="s">
        <v>150</v>
      </c>
      <c r="K109" s="33" t="s">
        <v>54</v>
      </c>
      <c r="L109" s="41" t="s">
        <v>55</v>
      </c>
      <c r="M109" s="37" t="s">
        <v>53</v>
      </c>
    </row>
    <row r="110" ht="66" customHeight="1" spans="1:13" x14ac:dyDescent="0.25">
      <c r="A110" s="27">
        <v>3</v>
      </c>
      <c r="B110" s="28" t="s">
        <v>410</v>
      </c>
      <c r="C110" s="29" t="s">
        <v>411</v>
      </c>
      <c r="D110" s="30" t="s">
        <v>412</v>
      </c>
      <c r="E110" s="29" t="s">
        <v>413</v>
      </c>
      <c r="F110" s="29" t="s">
        <v>328</v>
      </c>
      <c r="G110" s="27" t="s">
        <v>77</v>
      </c>
      <c r="H110" s="43" t="s">
        <v>62</v>
      </c>
      <c r="I110" s="44" t="s">
        <v>78</v>
      </c>
      <c r="J110" s="29" t="s">
        <v>414</v>
      </c>
      <c r="K110" s="33" t="s">
        <v>54</v>
      </c>
      <c r="L110" s="34" t="s">
        <v>55</v>
      </c>
      <c r="M110" s="29" t="s">
        <v>53</v>
      </c>
    </row>
    <row r="111" ht="81" customHeight="1" spans="1:13" x14ac:dyDescent="0.25">
      <c r="A111" s="35">
        <v>4</v>
      </c>
      <c r="B111" s="36" t="s">
        <v>415</v>
      </c>
      <c r="C111" s="37" t="s">
        <v>416</v>
      </c>
      <c r="D111" s="38" t="s">
        <v>417</v>
      </c>
      <c r="E111" s="37" t="s">
        <v>418</v>
      </c>
      <c r="F111" s="37" t="s">
        <v>419</v>
      </c>
      <c r="G111" s="35" t="s">
        <v>50</v>
      </c>
      <c r="H111" s="48" t="s">
        <v>51</v>
      </c>
      <c r="I111" s="45" t="s">
        <v>52</v>
      </c>
      <c r="J111" s="37" t="s">
        <v>53</v>
      </c>
      <c r="K111" s="33" t="s">
        <v>54</v>
      </c>
      <c r="L111" s="41" t="s">
        <v>55</v>
      </c>
      <c r="M111" s="37" t="s">
        <v>53</v>
      </c>
    </row>
    <row r="112" ht="66" customHeight="1" spans="1:13" x14ac:dyDescent="0.25">
      <c r="A112" s="27">
        <v>5</v>
      </c>
      <c r="B112" s="28" t="s">
        <v>420</v>
      </c>
      <c r="C112" s="29" t="s">
        <v>421</v>
      </c>
      <c r="D112" s="30" t="s">
        <v>422</v>
      </c>
      <c r="E112" s="29" t="s">
        <v>423</v>
      </c>
      <c r="F112" s="29" t="s">
        <v>424</v>
      </c>
      <c r="G112" s="27" t="s">
        <v>50</v>
      </c>
      <c r="H112" s="43" t="s">
        <v>62</v>
      </c>
      <c r="I112" s="46" t="s">
        <v>63</v>
      </c>
      <c r="J112" s="29" t="s">
        <v>53</v>
      </c>
      <c r="K112" s="33" t="s">
        <v>54</v>
      </c>
      <c r="L112" s="34" t="s">
        <v>55</v>
      </c>
      <c r="M112" s="29" t="s">
        <v>53</v>
      </c>
    </row>
    <row r="113" ht="81" customHeight="1" spans="1:13" x14ac:dyDescent="0.25">
      <c r="A113" s="35">
        <v>6</v>
      </c>
      <c r="B113" s="36" t="s">
        <v>425</v>
      </c>
      <c r="C113" s="37" t="s">
        <v>426</v>
      </c>
      <c r="D113" s="38" t="s">
        <v>427</v>
      </c>
      <c r="E113" s="37" t="s">
        <v>428</v>
      </c>
      <c r="F113" s="37" t="s">
        <v>429</v>
      </c>
      <c r="G113" s="35" t="s">
        <v>50</v>
      </c>
      <c r="H113" s="39" t="s">
        <v>62</v>
      </c>
      <c r="I113" s="40" t="s">
        <v>63</v>
      </c>
      <c r="J113" s="37" t="s">
        <v>202</v>
      </c>
      <c r="K113" s="33" t="s">
        <v>54</v>
      </c>
      <c r="L113" s="41" t="s">
        <v>55</v>
      </c>
      <c r="M113" s="37" t="s">
        <v>53</v>
      </c>
    </row>
    <row r="114" ht="66" customHeight="1" spans="1:13" x14ac:dyDescent="0.25">
      <c r="A114" s="27">
        <v>7</v>
      </c>
      <c r="B114" s="28" t="s">
        <v>430</v>
      </c>
      <c r="C114" s="29" t="s">
        <v>431</v>
      </c>
      <c r="D114" s="30" t="s">
        <v>432</v>
      </c>
      <c r="E114" s="29" t="s">
        <v>433</v>
      </c>
      <c r="F114" s="29" t="s">
        <v>434</v>
      </c>
      <c r="G114" s="27" t="s">
        <v>61</v>
      </c>
      <c r="H114" s="43" t="s">
        <v>62</v>
      </c>
      <c r="I114" s="32" t="s">
        <v>52</v>
      </c>
      <c r="J114" s="29" t="s">
        <v>53</v>
      </c>
      <c r="K114" s="33" t="s">
        <v>54</v>
      </c>
      <c r="L114" s="34" t="s">
        <v>55</v>
      </c>
      <c r="M114" s="29" t="s">
        <v>53</v>
      </c>
    </row>
    <row r="115" ht="51" customHeight="1" spans="1:13" x14ac:dyDescent="0.25">
      <c r="A115" s="35">
        <v>8</v>
      </c>
      <c r="B115" s="36" t="s">
        <v>435</v>
      </c>
      <c r="C115" s="37" t="s">
        <v>436</v>
      </c>
      <c r="D115" s="38" t="s">
        <v>437</v>
      </c>
      <c r="E115" s="37" t="s">
        <v>438</v>
      </c>
      <c r="F115" s="37" t="s">
        <v>439</v>
      </c>
      <c r="G115" s="35" t="s">
        <v>50</v>
      </c>
      <c r="H115" s="39" t="s">
        <v>62</v>
      </c>
      <c r="I115" s="45" t="s">
        <v>52</v>
      </c>
      <c r="J115" s="37" t="s">
        <v>53</v>
      </c>
      <c r="K115" s="33" t="s">
        <v>54</v>
      </c>
      <c r="L115" s="41" t="s">
        <v>55</v>
      </c>
      <c r="M115" s="37" t="s">
        <v>53</v>
      </c>
    </row>
    <row r="116" ht="66" customHeight="1" spans="1:13" x14ac:dyDescent="0.25">
      <c r="A116" s="27">
        <v>9</v>
      </c>
      <c r="B116" s="28" t="s">
        <v>440</v>
      </c>
      <c r="C116" s="29" t="s">
        <v>441</v>
      </c>
      <c r="D116" s="30" t="s">
        <v>442</v>
      </c>
      <c r="E116" s="29" t="s">
        <v>443</v>
      </c>
      <c r="F116" s="29" t="s">
        <v>444</v>
      </c>
      <c r="G116" s="27" t="s">
        <v>50</v>
      </c>
      <c r="H116" s="43" t="s">
        <v>62</v>
      </c>
      <c r="I116" s="46" t="s">
        <v>63</v>
      </c>
      <c r="J116" s="29" t="s">
        <v>53</v>
      </c>
      <c r="K116" s="33" t="s">
        <v>54</v>
      </c>
      <c r="L116" s="34" t="s">
        <v>55</v>
      </c>
      <c r="M116" s="29" t="s">
        <v>53</v>
      </c>
    </row>
    <row r="117" ht="66" customHeight="1" spans="1:13" x14ac:dyDescent="0.25">
      <c r="A117" s="35">
        <v>10</v>
      </c>
      <c r="B117" s="36" t="s">
        <v>445</v>
      </c>
      <c r="C117" s="37" t="s">
        <v>446</v>
      </c>
      <c r="D117" s="38" t="s">
        <v>447</v>
      </c>
      <c r="E117" s="37" t="s">
        <v>448</v>
      </c>
      <c r="F117" s="37" t="s">
        <v>449</v>
      </c>
      <c r="G117" s="35" t="s">
        <v>50</v>
      </c>
      <c r="H117" s="39" t="s">
        <v>62</v>
      </c>
      <c r="I117" s="40" t="s">
        <v>63</v>
      </c>
      <c r="J117" s="37" t="s">
        <v>53</v>
      </c>
      <c r="K117" s="33" t="s">
        <v>54</v>
      </c>
      <c r="L117" s="41" t="s">
        <v>55</v>
      </c>
      <c r="M117" s="37" t="s">
        <v>53</v>
      </c>
    </row>
    <row r="118" ht="96" customHeight="1" spans="1:13" x14ac:dyDescent="0.25">
      <c r="A118" s="27">
        <v>11</v>
      </c>
      <c r="B118" s="28" t="s">
        <v>450</v>
      </c>
      <c r="C118" s="29" t="s">
        <v>451</v>
      </c>
      <c r="D118" s="30" t="s">
        <v>452</v>
      </c>
      <c r="E118" s="29" t="s">
        <v>453</v>
      </c>
      <c r="F118" s="29" t="s">
        <v>454</v>
      </c>
      <c r="G118" s="27" t="s">
        <v>50</v>
      </c>
      <c r="H118" s="43" t="s">
        <v>62</v>
      </c>
      <c r="I118" s="46" t="s">
        <v>63</v>
      </c>
      <c r="J118" s="29" t="s">
        <v>455</v>
      </c>
      <c r="K118" s="33" t="s">
        <v>54</v>
      </c>
      <c r="L118" s="34" t="s">
        <v>55</v>
      </c>
      <c r="M118" s="29" t="s">
        <v>53</v>
      </c>
    </row>
    <row r="119" ht="51" customHeight="1" spans="1:13" x14ac:dyDescent="0.25">
      <c r="A119" s="35">
        <v>12</v>
      </c>
      <c r="B119" s="36" t="s">
        <v>456</v>
      </c>
      <c r="C119" s="37" t="s">
        <v>457</v>
      </c>
      <c r="D119" s="38" t="s">
        <v>458</v>
      </c>
      <c r="E119" s="37" t="s">
        <v>459</v>
      </c>
      <c r="F119" s="37" t="s">
        <v>460</v>
      </c>
      <c r="G119" s="35" t="s">
        <v>61</v>
      </c>
      <c r="H119" s="39" t="s">
        <v>62</v>
      </c>
      <c r="I119" s="40" t="s">
        <v>63</v>
      </c>
      <c r="J119" s="37" t="s">
        <v>53</v>
      </c>
      <c r="K119" s="33" t="s">
        <v>54</v>
      </c>
      <c r="L119" s="41" t="s">
        <v>55</v>
      </c>
      <c r="M119" s="37" t="s">
        <v>53</v>
      </c>
    </row>
    <row r="120" ht="81" customHeight="1" spans="1:13" x14ac:dyDescent="0.25">
      <c r="A120" s="27">
        <v>13</v>
      </c>
      <c r="B120" s="28" t="s">
        <v>461</v>
      </c>
      <c r="C120" s="29" t="s">
        <v>462</v>
      </c>
      <c r="D120" s="30" t="s">
        <v>463</v>
      </c>
      <c r="E120" s="29" t="s">
        <v>464</v>
      </c>
      <c r="F120" s="29" t="s">
        <v>465</v>
      </c>
      <c r="G120" s="27" t="s">
        <v>50</v>
      </c>
      <c r="H120" s="43" t="s">
        <v>62</v>
      </c>
      <c r="I120" s="46" t="s">
        <v>63</v>
      </c>
      <c r="J120" s="29" t="s">
        <v>53</v>
      </c>
      <c r="K120" s="33" t="s">
        <v>54</v>
      </c>
      <c r="L120" s="34" t="s">
        <v>55</v>
      </c>
      <c r="M120" s="29" t="s">
        <v>53</v>
      </c>
    </row>
    <row r="121" ht="81" customHeight="1" spans="1:13" x14ac:dyDescent="0.25">
      <c r="A121" s="35">
        <v>14</v>
      </c>
      <c r="B121" s="36" t="s">
        <v>466</v>
      </c>
      <c r="C121" s="37" t="s">
        <v>467</v>
      </c>
      <c r="D121" s="38" t="s">
        <v>468</v>
      </c>
      <c r="E121" s="37" t="s">
        <v>469</v>
      </c>
      <c r="F121" s="37" t="s">
        <v>382</v>
      </c>
      <c r="G121" s="35" t="s">
        <v>61</v>
      </c>
      <c r="H121" s="39" t="s">
        <v>62</v>
      </c>
      <c r="I121" s="40" t="s">
        <v>63</v>
      </c>
      <c r="J121" s="37" t="s">
        <v>53</v>
      </c>
      <c r="K121" s="33" t="s">
        <v>54</v>
      </c>
      <c r="L121" s="41" t="s">
        <v>55</v>
      </c>
      <c r="M121" s="37" t="s">
        <v>53</v>
      </c>
    </row>
    <row r="122" ht="66" customHeight="1" spans="1:13" x14ac:dyDescent="0.25">
      <c r="A122" s="27">
        <v>15</v>
      </c>
      <c r="B122" s="28" t="s">
        <v>470</v>
      </c>
      <c r="C122" s="29" t="s">
        <v>471</v>
      </c>
      <c r="D122" s="30" t="s">
        <v>472</v>
      </c>
      <c r="E122" s="29" t="s">
        <v>473</v>
      </c>
      <c r="F122" s="29" t="s">
        <v>474</v>
      </c>
      <c r="G122" s="27" t="s">
        <v>61</v>
      </c>
      <c r="H122" s="43" t="s">
        <v>62</v>
      </c>
      <c r="I122" s="46" t="s">
        <v>63</v>
      </c>
      <c r="J122" s="29" t="s">
        <v>475</v>
      </c>
      <c r="K122" s="33" t="s">
        <v>54</v>
      </c>
      <c r="L122" s="34" t="s">
        <v>55</v>
      </c>
      <c r="M122" s="29" t="s">
        <v>53</v>
      </c>
    </row>
    <row r="123" ht="66" customHeight="1" spans="1:13" x14ac:dyDescent="0.25">
      <c r="A123" s="35">
        <v>16</v>
      </c>
      <c r="B123" s="36" t="s">
        <v>476</v>
      </c>
      <c r="C123" s="37" t="s">
        <v>477</v>
      </c>
      <c r="D123" s="38" t="s">
        <v>478</v>
      </c>
      <c r="E123" s="37" t="s">
        <v>479</v>
      </c>
      <c r="F123" s="37" t="s">
        <v>480</v>
      </c>
      <c r="G123" s="35" t="s">
        <v>77</v>
      </c>
      <c r="H123" s="39" t="s">
        <v>62</v>
      </c>
      <c r="I123" s="42" t="s">
        <v>78</v>
      </c>
      <c r="J123" s="37" t="s">
        <v>236</v>
      </c>
      <c r="K123" s="33" t="s">
        <v>54</v>
      </c>
      <c r="L123" s="41" t="s">
        <v>55</v>
      </c>
      <c r="M123" s="37" t="s">
        <v>53</v>
      </c>
    </row>
    <row r="125" ht="28" customHeight="1" spans="1:13" x14ac:dyDescent="0.25">
      <c r="A125" s="23" t="s">
        <v>481</v>
      </c>
      <c r="B125" s="23"/>
      <c r="C125" s="23"/>
      <c r="D125" s="23"/>
      <c r="E125" s="23"/>
      <c r="F125" s="23"/>
      <c r="G125" s="23"/>
      <c r="H125" s="23"/>
      <c r="I125" s="23"/>
      <c r="J125" s="23"/>
      <c r="K125" s="23"/>
      <c r="L125" s="23"/>
      <c r="M125" s="24" t="str">
        <f>HYPERLINK("#'Test Cases'!A5","↑ Summary")</f>
        <v>↑ Summary</v>
      </c>
    </row>
    <row r="126" ht="18" customHeight="1" spans="1:13" x14ac:dyDescent="0.25">
      <c r="A126" s="25" t="s">
        <v>482</v>
      </c>
      <c r="B126" s="25"/>
      <c r="C126" s="25"/>
      <c r="D126" s="25"/>
      <c r="E126" s="25"/>
      <c r="F126" s="25"/>
      <c r="G126" s="25"/>
      <c r="H126" s="25"/>
      <c r="I126" s="25"/>
      <c r="J126" s="25"/>
      <c r="K126" s="25"/>
      <c r="L126" s="25"/>
      <c r="M126" s="25"/>
    </row>
    <row r="127" ht="30" customHeight="1" spans="1:13" x14ac:dyDescent="0.25">
      <c r="A127" s="26" t="s">
        <v>32</v>
      </c>
      <c r="B127" s="26" t="s">
        <v>33</v>
      </c>
      <c r="C127" s="26" t="s">
        <v>34</v>
      </c>
      <c r="D127" s="26" t="s">
        <v>35</v>
      </c>
      <c r="E127" s="26" t="s">
        <v>36</v>
      </c>
      <c r="F127" s="26" t="s">
        <v>37</v>
      </c>
      <c r="G127" s="26" t="s">
        <v>38</v>
      </c>
      <c r="H127" s="26" t="s">
        <v>39</v>
      </c>
      <c r="I127" s="26" t="s">
        <v>40</v>
      </c>
      <c r="J127" s="26" t="s">
        <v>41</v>
      </c>
      <c r="K127" s="26" t="s">
        <v>42</v>
      </c>
      <c r="L127" s="26" t="s">
        <v>43</v>
      </c>
      <c r="M127" s="26" t="s">
        <v>44</v>
      </c>
    </row>
    <row r="128" ht="81" customHeight="1" spans="1:13" x14ac:dyDescent="0.25">
      <c r="A128" s="27">
        <v>1</v>
      </c>
      <c r="B128" s="28" t="s">
        <v>483</v>
      </c>
      <c r="C128" s="29" t="s">
        <v>484</v>
      </c>
      <c r="D128" s="30" t="s">
        <v>485</v>
      </c>
      <c r="E128" s="29" t="s">
        <v>486</v>
      </c>
      <c r="F128" s="29" t="s">
        <v>328</v>
      </c>
      <c r="G128" s="27" t="s">
        <v>77</v>
      </c>
      <c r="H128" s="43" t="s">
        <v>62</v>
      </c>
      <c r="I128" s="44" t="s">
        <v>78</v>
      </c>
      <c r="J128" s="29" t="s">
        <v>150</v>
      </c>
      <c r="K128" s="33" t="s">
        <v>54</v>
      </c>
      <c r="L128" s="34" t="s">
        <v>55</v>
      </c>
      <c r="M128" s="29" t="s">
        <v>53</v>
      </c>
    </row>
    <row r="129" ht="81" customHeight="1" spans="1:13" x14ac:dyDescent="0.25">
      <c r="A129" s="35">
        <v>2</v>
      </c>
      <c r="B129" s="36" t="s">
        <v>487</v>
      </c>
      <c r="C129" s="37" t="s">
        <v>488</v>
      </c>
      <c r="D129" s="38" t="s">
        <v>489</v>
      </c>
      <c r="E129" s="37" t="s">
        <v>490</v>
      </c>
      <c r="F129" s="37" t="s">
        <v>491</v>
      </c>
      <c r="G129" s="35" t="s">
        <v>50</v>
      </c>
      <c r="H129" s="48" t="s">
        <v>51</v>
      </c>
      <c r="I129" s="45" t="s">
        <v>52</v>
      </c>
      <c r="J129" s="37" t="s">
        <v>53</v>
      </c>
      <c r="K129" s="33" t="s">
        <v>54</v>
      </c>
      <c r="L129" s="41" t="s">
        <v>55</v>
      </c>
      <c r="M129" s="37" t="s">
        <v>53</v>
      </c>
    </row>
    <row r="130" ht="66" customHeight="1" spans="1:13" x14ac:dyDescent="0.25">
      <c r="A130" s="27">
        <v>3</v>
      </c>
      <c r="B130" s="28" t="s">
        <v>492</v>
      </c>
      <c r="C130" s="29" t="s">
        <v>493</v>
      </c>
      <c r="D130" s="30" t="s">
        <v>494</v>
      </c>
      <c r="E130" s="29" t="s">
        <v>495</v>
      </c>
      <c r="F130" s="29" t="s">
        <v>496</v>
      </c>
      <c r="G130" s="27" t="s">
        <v>50</v>
      </c>
      <c r="H130" s="43" t="s">
        <v>62</v>
      </c>
      <c r="I130" s="32" t="s">
        <v>52</v>
      </c>
      <c r="J130" s="29" t="s">
        <v>53</v>
      </c>
      <c r="K130" s="33" t="s">
        <v>54</v>
      </c>
      <c r="L130" s="34" t="s">
        <v>55</v>
      </c>
      <c r="M130" s="29" t="s">
        <v>53</v>
      </c>
    </row>
    <row r="131" ht="66" customHeight="1" spans="1:13" x14ac:dyDescent="0.25">
      <c r="A131" s="35">
        <v>4</v>
      </c>
      <c r="B131" s="36" t="s">
        <v>497</v>
      </c>
      <c r="C131" s="37" t="s">
        <v>498</v>
      </c>
      <c r="D131" s="38" t="s">
        <v>499</v>
      </c>
      <c r="E131" s="37" t="s">
        <v>500</v>
      </c>
      <c r="F131" s="37" t="s">
        <v>368</v>
      </c>
      <c r="G131" s="35" t="s">
        <v>61</v>
      </c>
      <c r="H131" s="39" t="s">
        <v>62</v>
      </c>
      <c r="I131" s="45" t="s">
        <v>52</v>
      </c>
      <c r="J131" s="37" t="s">
        <v>53</v>
      </c>
      <c r="K131" s="33" t="s">
        <v>54</v>
      </c>
      <c r="L131" s="41" t="s">
        <v>55</v>
      </c>
      <c r="M131" s="37" t="s">
        <v>53</v>
      </c>
    </row>
    <row r="132" ht="81" customHeight="1" spans="1:13" x14ac:dyDescent="0.25">
      <c r="A132" s="27">
        <v>5</v>
      </c>
      <c r="B132" s="28" t="s">
        <v>501</v>
      </c>
      <c r="C132" s="29" t="s">
        <v>502</v>
      </c>
      <c r="D132" s="30" t="s">
        <v>503</v>
      </c>
      <c r="E132" s="29" t="s">
        <v>504</v>
      </c>
      <c r="F132" s="29" t="s">
        <v>505</v>
      </c>
      <c r="G132" s="27" t="s">
        <v>50</v>
      </c>
      <c r="H132" s="43" t="s">
        <v>62</v>
      </c>
      <c r="I132" s="46" t="s">
        <v>63</v>
      </c>
      <c r="J132" s="29" t="s">
        <v>455</v>
      </c>
      <c r="K132" s="33" t="s">
        <v>54</v>
      </c>
      <c r="L132" s="34" t="s">
        <v>55</v>
      </c>
      <c r="M132" s="29" t="s">
        <v>53</v>
      </c>
    </row>
    <row r="133" ht="81" customHeight="1" spans="1:13" x14ac:dyDescent="0.25">
      <c r="A133" s="35">
        <v>6</v>
      </c>
      <c r="B133" s="36" t="s">
        <v>506</v>
      </c>
      <c r="C133" s="37" t="s">
        <v>507</v>
      </c>
      <c r="D133" s="38" t="s">
        <v>508</v>
      </c>
      <c r="E133" s="37" t="s">
        <v>509</v>
      </c>
      <c r="F133" s="37" t="s">
        <v>510</v>
      </c>
      <c r="G133" s="35" t="s">
        <v>61</v>
      </c>
      <c r="H133" s="39" t="s">
        <v>62</v>
      </c>
      <c r="I133" s="40" t="s">
        <v>63</v>
      </c>
      <c r="J133" s="37" t="s">
        <v>455</v>
      </c>
      <c r="K133" s="33" t="s">
        <v>54</v>
      </c>
      <c r="L133" s="41" t="s">
        <v>55</v>
      </c>
      <c r="M133" s="37" t="s">
        <v>53</v>
      </c>
    </row>
    <row r="134" ht="66" customHeight="1" spans="1:13" x14ac:dyDescent="0.25">
      <c r="A134" s="27">
        <v>7</v>
      </c>
      <c r="B134" s="28" t="s">
        <v>511</v>
      </c>
      <c r="C134" s="29" t="s">
        <v>512</v>
      </c>
      <c r="D134" s="30" t="s">
        <v>513</v>
      </c>
      <c r="E134" s="29" t="s">
        <v>514</v>
      </c>
      <c r="F134" s="29" t="s">
        <v>515</v>
      </c>
      <c r="G134" s="27" t="s">
        <v>50</v>
      </c>
      <c r="H134" s="43" t="s">
        <v>62</v>
      </c>
      <c r="I134" s="49" t="s">
        <v>213</v>
      </c>
      <c r="J134" s="29" t="s">
        <v>53</v>
      </c>
      <c r="K134" s="33" t="s">
        <v>54</v>
      </c>
      <c r="L134" s="34" t="s">
        <v>55</v>
      </c>
      <c r="M134" s="29" t="s">
        <v>53</v>
      </c>
    </row>
    <row r="135" ht="81" customHeight="1" spans="1:13" x14ac:dyDescent="0.25">
      <c r="A135" s="35">
        <v>8</v>
      </c>
      <c r="B135" s="36" t="s">
        <v>516</v>
      </c>
      <c r="C135" s="37" t="s">
        <v>517</v>
      </c>
      <c r="D135" s="38" t="s">
        <v>518</v>
      </c>
      <c r="E135" s="37" t="s">
        <v>519</v>
      </c>
      <c r="F135" s="37" t="s">
        <v>520</v>
      </c>
      <c r="G135" s="35" t="s">
        <v>61</v>
      </c>
      <c r="H135" s="39" t="s">
        <v>62</v>
      </c>
      <c r="I135" s="40" t="s">
        <v>63</v>
      </c>
      <c r="J135" s="37" t="s">
        <v>53</v>
      </c>
      <c r="K135" s="33" t="s">
        <v>54</v>
      </c>
      <c r="L135" s="41" t="s">
        <v>55</v>
      </c>
      <c r="M135" s="37" t="s">
        <v>53</v>
      </c>
    </row>
    <row r="136" ht="96" customHeight="1" spans="1:13" x14ac:dyDescent="0.25">
      <c r="A136" s="27">
        <v>9</v>
      </c>
      <c r="B136" s="28" t="s">
        <v>521</v>
      </c>
      <c r="C136" s="29" t="s">
        <v>522</v>
      </c>
      <c r="D136" s="30" t="s">
        <v>523</v>
      </c>
      <c r="E136" s="29" t="s">
        <v>524</v>
      </c>
      <c r="F136" s="29" t="s">
        <v>525</v>
      </c>
      <c r="G136" s="27" t="s">
        <v>77</v>
      </c>
      <c r="H136" s="43" t="s">
        <v>62</v>
      </c>
      <c r="I136" s="32" t="s">
        <v>52</v>
      </c>
      <c r="J136" s="29" t="s">
        <v>526</v>
      </c>
      <c r="K136" s="33" t="s">
        <v>54</v>
      </c>
      <c r="L136" s="34" t="s">
        <v>55</v>
      </c>
      <c r="M136" s="29" t="s">
        <v>53</v>
      </c>
    </row>
    <row r="137" ht="81" customHeight="1" spans="1:13" x14ac:dyDescent="0.25">
      <c r="A137" s="35">
        <v>10</v>
      </c>
      <c r="B137" s="36" t="s">
        <v>527</v>
      </c>
      <c r="C137" s="37" t="s">
        <v>528</v>
      </c>
      <c r="D137" s="38" t="s">
        <v>529</v>
      </c>
      <c r="E137" s="37" t="s">
        <v>530</v>
      </c>
      <c r="F137" s="37" t="s">
        <v>531</v>
      </c>
      <c r="G137" s="35" t="s">
        <v>77</v>
      </c>
      <c r="H137" s="39" t="s">
        <v>62</v>
      </c>
      <c r="I137" s="42" t="s">
        <v>78</v>
      </c>
      <c r="J137" s="37" t="s">
        <v>236</v>
      </c>
      <c r="K137" s="33" t="s">
        <v>54</v>
      </c>
      <c r="L137" s="41" t="s">
        <v>55</v>
      </c>
      <c r="M137" s="37" t="s">
        <v>53</v>
      </c>
    </row>
    <row r="139" ht="28" customHeight="1" spans="1:13" x14ac:dyDescent="0.25">
      <c r="A139" s="23" t="s">
        <v>532</v>
      </c>
      <c r="B139" s="23"/>
      <c r="C139" s="23"/>
      <c r="D139" s="23"/>
      <c r="E139" s="23"/>
      <c r="F139" s="23"/>
      <c r="G139" s="23"/>
      <c r="H139" s="23"/>
      <c r="I139" s="23"/>
      <c r="J139" s="23"/>
      <c r="K139" s="23"/>
      <c r="L139" s="23"/>
      <c r="M139" s="24" t="str">
        <f>HYPERLINK("#'Test Cases'!A5","↑ Summary")</f>
        <v>↑ Summary</v>
      </c>
    </row>
    <row r="140" ht="18" customHeight="1" spans="1:13" x14ac:dyDescent="0.25">
      <c r="A140" s="25" t="s">
        <v>533</v>
      </c>
      <c r="B140" s="25"/>
      <c r="C140" s="25"/>
      <c r="D140" s="25"/>
      <c r="E140" s="25"/>
      <c r="F140" s="25"/>
      <c r="G140" s="25"/>
      <c r="H140" s="25"/>
      <c r="I140" s="25"/>
      <c r="J140" s="25"/>
      <c r="K140" s="25"/>
      <c r="L140" s="25"/>
      <c r="M140" s="25"/>
    </row>
    <row r="141" ht="30" customHeight="1" spans="1:13" x14ac:dyDescent="0.25">
      <c r="A141" s="26" t="s">
        <v>32</v>
      </c>
      <c r="B141" s="26" t="s">
        <v>33</v>
      </c>
      <c r="C141" s="26" t="s">
        <v>34</v>
      </c>
      <c r="D141" s="26" t="s">
        <v>35</v>
      </c>
      <c r="E141" s="26" t="s">
        <v>36</v>
      </c>
      <c r="F141" s="26" t="s">
        <v>37</v>
      </c>
      <c r="G141" s="26" t="s">
        <v>38</v>
      </c>
      <c r="H141" s="26" t="s">
        <v>39</v>
      </c>
      <c r="I141" s="26" t="s">
        <v>40</v>
      </c>
      <c r="J141" s="26" t="s">
        <v>41</v>
      </c>
      <c r="K141" s="26" t="s">
        <v>42</v>
      </c>
      <c r="L141" s="26" t="s">
        <v>43</v>
      </c>
      <c r="M141" s="26" t="s">
        <v>44</v>
      </c>
    </row>
    <row r="142" ht="96" customHeight="1" spans="1:13" x14ac:dyDescent="0.25">
      <c r="A142" s="27">
        <v>1</v>
      </c>
      <c r="B142" s="28" t="s">
        <v>534</v>
      </c>
      <c r="C142" s="29" t="s">
        <v>535</v>
      </c>
      <c r="D142" s="30" t="s">
        <v>536</v>
      </c>
      <c r="E142" s="29" t="s">
        <v>537</v>
      </c>
      <c r="F142" s="29" t="s">
        <v>538</v>
      </c>
      <c r="G142" s="27" t="s">
        <v>77</v>
      </c>
      <c r="H142" s="43" t="s">
        <v>62</v>
      </c>
      <c r="I142" s="44" t="s">
        <v>78</v>
      </c>
      <c r="J142" s="29" t="s">
        <v>414</v>
      </c>
      <c r="K142" s="33" t="s">
        <v>54</v>
      </c>
      <c r="L142" s="34" t="s">
        <v>55</v>
      </c>
      <c r="M142" s="29" t="s">
        <v>53</v>
      </c>
    </row>
    <row r="143" ht="126" customHeight="1" spans="1:13" x14ac:dyDescent="0.25">
      <c r="A143" s="35">
        <v>2</v>
      </c>
      <c r="B143" s="36" t="s">
        <v>539</v>
      </c>
      <c r="C143" s="37" t="s">
        <v>540</v>
      </c>
      <c r="D143" s="38" t="s">
        <v>541</v>
      </c>
      <c r="E143" s="37" t="s">
        <v>542</v>
      </c>
      <c r="F143" s="37" t="s">
        <v>543</v>
      </c>
      <c r="G143" s="35" t="s">
        <v>173</v>
      </c>
      <c r="H143" s="39" t="s">
        <v>62</v>
      </c>
      <c r="I143" s="45" t="s">
        <v>52</v>
      </c>
      <c r="J143" s="37" t="s">
        <v>544</v>
      </c>
      <c r="K143" s="33" t="s">
        <v>54</v>
      </c>
      <c r="L143" s="41" t="s">
        <v>55</v>
      </c>
      <c r="M143" s="37" t="s">
        <v>53</v>
      </c>
    </row>
    <row r="144" ht="81" customHeight="1" spans="1:13" x14ac:dyDescent="0.25">
      <c r="A144" s="27">
        <v>3</v>
      </c>
      <c r="B144" s="28" t="s">
        <v>545</v>
      </c>
      <c r="C144" s="29" t="s">
        <v>546</v>
      </c>
      <c r="D144" s="30" t="s">
        <v>547</v>
      </c>
      <c r="E144" s="29" t="s">
        <v>548</v>
      </c>
      <c r="F144" s="29" t="s">
        <v>549</v>
      </c>
      <c r="G144" s="27" t="s">
        <v>50</v>
      </c>
      <c r="H144" s="31" t="s">
        <v>51</v>
      </c>
      <c r="I144" s="32" t="s">
        <v>52</v>
      </c>
      <c r="J144" s="29" t="s">
        <v>202</v>
      </c>
      <c r="K144" s="33" t="s">
        <v>54</v>
      </c>
      <c r="L144" s="34" t="s">
        <v>55</v>
      </c>
      <c r="M144" s="29" t="s">
        <v>53</v>
      </c>
    </row>
    <row r="145" ht="81" customHeight="1" spans="1:13" x14ac:dyDescent="0.25">
      <c r="A145" s="35">
        <v>4</v>
      </c>
      <c r="B145" s="36" t="s">
        <v>550</v>
      </c>
      <c r="C145" s="37" t="s">
        <v>551</v>
      </c>
      <c r="D145" s="38" t="s">
        <v>552</v>
      </c>
      <c r="E145" s="37" t="s">
        <v>553</v>
      </c>
      <c r="F145" s="37" t="s">
        <v>554</v>
      </c>
      <c r="G145" s="35" t="s">
        <v>61</v>
      </c>
      <c r="H145" s="39" t="s">
        <v>62</v>
      </c>
      <c r="I145" s="40" t="s">
        <v>63</v>
      </c>
      <c r="J145" s="37" t="s">
        <v>555</v>
      </c>
      <c r="K145" s="33" t="s">
        <v>54</v>
      </c>
      <c r="L145" s="41" t="s">
        <v>55</v>
      </c>
      <c r="M145" s="37" t="s">
        <v>53</v>
      </c>
    </row>
    <row r="146" ht="66" customHeight="1" spans="1:13" x14ac:dyDescent="0.25">
      <c r="A146" s="27">
        <v>5</v>
      </c>
      <c r="B146" s="28" t="s">
        <v>556</v>
      </c>
      <c r="C146" s="29" t="s">
        <v>557</v>
      </c>
      <c r="D146" s="30" t="s">
        <v>558</v>
      </c>
      <c r="E146" s="29" t="s">
        <v>559</v>
      </c>
      <c r="F146" s="29" t="s">
        <v>560</v>
      </c>
      <c r="G146" s="27" t="s">
        <v>61</v>
      </c>
      <c r="H146" s="43" t="s">
        <v>62</v>
      </c>
      <c r="I146" s="46" t="s">
        <v>63</v>
      </c>
      <c r="J146" s="29" t="s">
        <v>202</v>
      </c>
      <c r="K146" s="33" t="s">
        <v>54</v>
      </c>
      <c r="L146" s="34" t="s">
        <v>55</v>
      </c>
      <c r="M146" s="29" t="s">
        <v>53</v>
      </c>
    </row>
    <row r="147" ht="66" customHeight="1" spans="1:13" x14ac:dyDescent="0.25">
      <c r="A147" s="35">
        <v>6</v>
      </c>
      <c r="B147" s="36" t="s">
        <v>561</v>
      </c>
      <c r="C147" s="37" t="s">
        <v>562</v>
      </c>
      <c r="D147" s="38" t="s">
        <v>563</v>
      </c>
      <c r="E147" s="37" t="s">
        <v>564</v>
      </c>
      <c r="F147" s="37" t="s">
        <v>565</v>
      </c>
      <c r="G147" s="35" t="s">
        <v>61</v>
      </c>
      <c r="H147" s="39" t="s">
        <v>62</v>
      </c>
      <c r="I147" s="40" t="s">
        <v>63</v>
      </c>
      <c r="J147" s="37" t="s">
        <v>53</v>
      </c>
      <c r="K147" s="33" t="s">
        <v>54</v>
      </c>
      <c r="L147" s="41" t="s">
        <v>55</v>
      </c>
      <c r="M147" s="37" t="s">
        <v>53</v>
      </c>
    </row>
    <row r="148" ht="66" customHeight="1" spans="1:13" x14ac:dyDescent="0.25">
      <c r="A148" s="27">
        <v>7</v>
      </c>
      <c r="B148" s="28" t="s">
        <v>566</v>
      </c>
      <c r="C148" s="29" t="s">
        <v>567</v>
      </c>
      <c r="D148" s="30" t="s">
        <v>568</v>
      </c>
      <c r="E148" s="29" t="s">
        <v>569</v>
      </c>
      <c r="F148" s="29" t="s">
        <v>570</v>
      </c>
      <c r="G148" s="27" t="s">
        <v>61</v>
      </c>
      <c r="H148" s="43" t="s">
        <v>62</v>
      </c>
      <c r="I148" s="46" t="s">
        <v>63</v>
      </c>
      <c r="J148" s="29" t="s">
        <v>202</v>
      </c>
      <c r="K148" s="33" t="s">
        <v>54</v>
      </c>
      <c r="L148" s="34" t="s">
        <v>55</v>
      </c>
      <c r="M148" s="29" t="s">
        <v>53</v>
      </c>
    </row>
    <row r="150" ht="28" customHeight="1" spans="1:13" x14ac:dyDescent="0.25">
      <c r="A150" s="23" t="s">
        <v>571</v>
      </c>
      <c r="B150" s="23"/>
      <c r="C150" s="23"/>
      <c r="D150" s="23"/>
      <c r="E150" s="23"/>
      <c r="F150" s="23"/>
      <c r="G150" s="23"/>
      <c r="H150" s="23"/>
      <c r="I150" s="23"/>
      <c r="J150" s="23"/>
      <c r="K150" s="23"/>
      <c r="L150" s="23"/>
      <c r="M150" s="24" t="str">
        <f>HYPERLINK("#'Test Cases'!A5","↑ Summary")</f>
        <v>↑ Summary</v>
      </c>
    </row>
    <row r="151" ht="18" customHeight="1" spans="1:13" x14ac:dyDescent="0.25">
      <c r="A151" s="25" t="s">
        <v>572</v>
      </c>
      <c r="B151" s="25"/>
      <c r="C151" s="25"/>
      <c r="D151" s="25"/>
      <c r="E151" s="25"/>
      <c r="F151" s="25"/>
      <c r="G151" s="25"/>
      <c r="H151" s="25"/>
      <c r="I151" s="25"/>
      <c r="J151" s="25"/>
      <c r="K151" s="25"/>
      <c r="L151" s="25"/>
      <c r="M151" s="25"/>
    </row>
    <row r="152" ht="30" customHeight="1" spans="1:13" x14ac:dyDescent="0.25">
      <c r="A152" s="26" t="s">
        <v>32</v>
      </c>
      <c r="B152" s="26" t="s">
        <v>33</v>
      </c>
      <c r="C152" s="26" t="s">
        <v>34</v>
      </c>
      <c r="D152" s="26" t="s">
        <v>35</v>
      </c>
      <c r="E152" s="26" t="s">
        <v>36</v>
      </c>
      <c r="F152" s="26" t="s">
        <v>37</v>
      </c>
      <c r="G152" s="26" t="s">
        <v>38</v>
      </c>
      <c r="H152" s="26" t="s">
        <v>39</v>
      </c>
      <c r="I152" s="26" t="s">
        <v>40</v>
      </c>
      <c r="J152" s="26" t="s">
        <v>41</v>
      </c>
      <c r="K152" s="26" t="s">
        <v>42</v>
      </c>
      <c r="L152" s="26" t="s">
        <v>43</v>
      </c>
      <c r="M152" s="26" t="s">
        <v>44</v>
      </c>
    </row>
    <row r="153" ht="81" customHeight="1" spans="1:13" x14ac:dyDescent="0.25">
      <c r="A153" s="27">
        <v>1</v>
      </c>
      <c r="B153" s="28" t="s">
        <v>573</v>
      </c>
      <c r="C153" s="29" t="s">
        <v>574</v>
      </c>
      <c r="D153" s="30" t="s">
        <v>575</v>
      </c>
      <c r="E153" s="29" t="s">
        <v>576</v>
      </c>
      <c r="F153" s="29" t="s">
        <v>328</v>
      </c>
      <c r="G153" s="27" t="s">
        <v>77</v>
      </c>
      <c r="H153" s="43" t="s">
        <v>62</v>
      </c>
      <c r="I153" s="44" t="s">
        <v>78</v>
      </c>
      <c r="J153" s="29" t="s">
        <v>414</v>
      </c>
      <c r="K153" s="33" t="s">
        <v>54</v>
      </c>
      <c r="L153" s="34" t="s">
        <v>55</v>
      </c>
      <c r="M153" s="29" t="s">
        <v>53</v>
      </c>
    </row>
    <row r="154" ht="81" customHeight="1" spans="1:13" x14ac:dyDescent="0.25">
      <c r="A154" s="35">
        <v>2</v>
      </c>
      <c r="B154" s="36" t="s">
        <v>577</v>
      </c>
      <c r="C154" s="37" t="s">
        <v>578</v>
      </c>
      <c r="D154" s="38" t="s">
        <v>579</v>
      </c>
      <c r="E154" s="37" t="s">
        <v>580</v>
      </c>
      <c r="F154" s="37" t="s">
        <v>581</v>
      </c>
      <c r="G154" s="35" t="s">
        <v>50</v>
      </c>
      <c r="H154" s="48" t="s">
        <v>51</v>
      </c>
      <c r="I154" s="45" t="s">
        <v>52</v>
      </c>
      <c r="J154" s="37" t="s">
        <v>202</v>
      </c>
      <c r="K154" s="33" t="s">
        <v>54</v>
      </c>
      <c r="L154" s="41" t="s">
        <v>55</v>
      </c>
      <c r="M154" s="37" t="s">
        <v>53</v>
      </c>
    </row>
    <row r="155" ht="81" customHeight="1" spans="1:13" x14ac:dyDescent="0.25">
      <c r="A155" s="27">
        <v>3</v>
      </c>
      <c r="B155" s="28" t="s">
        <v>582</v>
      </c>
      <c r="C155" s="29" t="s">
        <v>583</v>
      </c>
      <c r="D155" s="30" t="s">
        <v>584</v>
      </c>
      <c r="E155" s="29" t="s">
        <v>585</v>
      </c>
      <c r="F155" s="29" t="s">
        <v>586</v>
      </c>
      <c r="G155" s="27" t="s">
        <v>77</v>
      </c>
      <c r="H155" s="43" t="s">
        <v>62</v>
      </c>
      <c r="I155" s="44" t="s">
        <v>78</v>
      </c>
      <c r="J155" s="29" t="s">
        <v>587</v>
      </c>
      <c r="K155" s="33" t="s">
        <v>54</v>
      </c>
      <c r="L155" s="34" t="s">
        <v>55</v>
      </c>
      <c r="M155" s="29" t="s">
        <v>53</v>
      </c>
    </row>
    <row r="156" ht="81" customHeight="1" spans="1:13" x14ac:dyDescent="0.25">
      <c r="A156" s="35">
        <v>4</v>
      </c>
      <c r="B156" s="36" t="s">
        <v>588</v>
      </c>
      <c r="C156" s="37" t="s">
        <v>589</v>
      </c>
      <c r="D156" s="38" t="s">
        <v>590</v>
      </c>
      <c r="E156" s="37" t="s">
        <v>591</v>
      </c>
      <c r="F156" s="37" t="s">
        <v>592</v>
      </c>
      <c r="G156" s="35" t="s">
        <v>77</v>
      </c>
      <c r="H156" s="39" t="s">
        <v>62</v>
      </c>
      <c r="I156" s="42" t="s">
        <v>78</v>
      </c>
      <c r="J156" s="37" t="s">
        <v>593</v>
      </c>
      <c r="K156" s="33" t="s">
        <v>54</v>
      </c>
      <c r="L156" s="41" t="s">
        <v>55</v>
      </c>
      <c r="M156" s="37" t="s">
        <v>53</v>
      </c>
    </row>
    <row r="157" ht="81" customHeight="1" spans="1:13" x14ac:dyDescent="0.25">
      <c r="A157" s="27">
        <v>5</v>
      </c>
      <c r="B157" s="28" t="s">
        <v>594</v>
      </c>
      <c r="C157" s="29" t="s">
        <v>595</v>
      </c>
      <c r="D157" s="30" t="s">
        <v>596</v>
      </c>
      <c r="E157" s="29" t="s">
        <v>597</v>
      </c>
      <c r="F157" s="29" t="s">
        <v>598</v>
      </c>
      <c r="G157" s="27" t="s">
        <v>61</v>
      </c>
      <c r="H157" s="43" t="s">
        <v>62</v>
      </c>
      <c r="I157" s="46" t="s">
        <v>63</v>
      </c>
      <c r="J157" s="29" t="s">
        <v>53</v>
      </c>
      <c r="K157" s="33" t="s">
        <v>54</v>
      </c>
      <c r="L157" s="34" t="s">
        <v>55</v>
      </c>
      <c r="M157" s="29" t="s">
        <v>53</v>
      </c>
    </row>
    <row r="158" ht="96" customHeight="1" spans="1:13" x14ac:dyDescent="0.25">
      <c r="A158" s="35">
        <v>6</v>
      </c>
      <c r="B158" s="36" t="s">
        <v>599</v>
      </c>
      <c r="C158" s="37" t="s">
        <v>600</v>
      </c>
      <c r="D158" s="38" t="s">
        <v>601</v>
      </c>
      <c r="E158" s="37" t="s">
        <v>602</v>
      </c>
      <c r="F158" s="37" t="s">
        <v>592</v>
      </c>
      <c r="G158" s="35" t="s">
        <v>61</v>
      </c>
      <c r="H158" s="39" t="s">
        <v>62</v>
      </c>
      <c r="I158" s="40" t="s">
        <v>63</v>
      </c>
      <c r="J158" s="37" t="s">
        <v>603</v>
      </c>
      <c r="K158" s="33" t="s">
        <v>54</v>
      </c>
      <c r="L158" s="41" t="s">
        <v>55</v>
      </c>
      <c r="M158" s="37" t="s">
        <v>53</v>
      </c>
    </row>
    <row r="160" ht="28" customHeight="1" spans="1:13" x14ac:dyDescent="0.25">
      <c r="A160" s="23" t="s">
        <v>604</v>
      </c>
      <c r="B160" s="23"/>
      <c r="C160" s="23"/>
      <c r="D160" s="23"/>
      <c r="E160" s="23"/>
      <c r="F160" s="23"/>
      <c r="G160" s="23"/>
      <c r="H160" s="23"/>
      <c r="I160" s="23"/>
      <c r="J160" s="23"/>
      <c r="K160" s="23"/>
      <c r="L160" s="23"/>
      <c r="M160" s="24" t="str">
        <f>HYPERLINK("#'Test Cases'!A5","↑ Summary")</f>
        <v>↑ Summary</v>
      </c>
    </row>
    <row r="161" ht="18" customHeight="1" spans="1:13" x14ac:dyDescent="0.25">
      <c r="A161" s="25" t="s">
        <v>605</v>
      </c>
      <c r="B161" s="25"/>
      <c r="C161" s="25"/>
      <c r="D161" s="25"/>
      <c r="E161" s="25"/>
      <c r="F161" s="25"/>
      <c r="G161" s="25"/>
      <c r="H161" s="25"/>
      <c r="I161" s="25"/>
      <c r="J161" s="25"/>
      <c r="K161" s="25"/>
      <c r="L161" s="25"/>
      <c r="M161" s="25"/>
    </row>
    <row r="162" ht="30" customHeight="1" spans="1:13" x14ac:dyDescent="0.25">
      <c r="A162" s="26" t="s">
        <v>32</v>
      </c>
      <c r="B162" s="26" t="s">
        <v>33</v>
      </c>
      <c r="C162" s="26" t="s">
        <v>34</v>
      </c>
      <c r="D162" s="26" t="s">
        <v>35</v>
      </c>
      <c r="E162" s="26" t="s">
        <v>36</v>
      </c>
      <c r="F162" s="26" t="s">
        <v>37</v>
      </c>
      <c r="G162" s="26" t="s">
        <v>38</v>
      </c>
      <c r="H162" s="26" t="s">
        <v>39</v>
      </c>
      <c r="I162" s="26" t="s">
        <v>40</v>
      </c>
      <c r="J162" s="26" t="s">
        <v>41</v>
      </c>
      <c r="K162" s="26" t="s">
        <v>42</v>
      </c>
      <c r="L162" s="26" t="s">
        <v>43</v>
      </c>
      <c r="M162" s="26" t="s">
        <v>44</v>
      </c>
    </row>
    <row r="163" ht="81" customHeight="1" spans="1:13" x14ac:dyDescent="0.25">
      <c r="A163" s="27">
        <v>1</v>
      </c>
      <c r="B163" s="28" t="s">
        <v>606</v>
      </c>
      <c r="C163" s="29" t="s">
        <v>607</v>
      </c>
      <c r="D163" s="30" t="s">
        <v>608</v>
      </c>
      <c r="E163" s="29" t="s">
        <v>609</v>
      </c>
      <c r="F163" s="29" t="s">
        <v>610</v>
      </c>
      <c r="G163" s="27" t="s">
        <v>50</v>
      </c>
      <c r="H163" s="31" t="s">
        <v>51</v>
      </c>
      <c r="I163" s="32" t="s">
        <v>52</v>
      </c>
      <c r="J163" s="29" t="s">
        <v>202</v>
      </c>
      <c r="K163" s="33" t="s">
        <v>54</v>
      </c>
      <c r="L163" s="34" t="s">
        <v>55</v>
      </c>
      <c r="M163" s="29" t="s">
        <v>53</v>
      </c>
    </row>
    <row r="164" ht="81" customHeight="1" spans="1:13" x14ac:dyDescent="0.25">
      <c r="A164" s="35">
        <v>2</v>
      </c>
      <c r="B164" s="36" t="s">
        <v>611</v>
      </c>
      <c r="C164" s="37" t="s">
        <v>612</v>
      </c>
      <c r="D164" s="38" t="s">
        <v>613</v>
      </c>
      <c r="E164" s="37" t="s">
        <v>614</v>
      </c>
      <c r="F164" s="37" t="s">
        <v>615</v>
      </c>
      <c r="G164" s="35" t="s">
        <v>50</v>
      </c>
      <c r="H164" s="39" t="s">
        <v>62</v>
      </c>
      <c r="I164" s="45" t="s">
        <v>52</v>
      </c>
      <c r="J164" s="37" t="s">
        <v>616</v>
      </c>
      <c r="K164" s="33" t="s">
        <v>54</v>
      </c>
      <c r="L164" s="41" t="s">
        <v>55</v>
      </c>
      <c r="M164" s="37" t="s">
        <v>53</v>
      </c>
    </row>
    <row r="166" ht="28" customHeight="1" spans="1:13" x14ac:dyDescent="0.25">
      <c r="A166" s="23" t="s">
        <v>617</v>
      </c>
      <c r="B166" s="23"/>
      <c r="C166" s="23"/>
      <c r="D166" s="23"/>
      <c r="E166" s="23"/>
      <c r="F166" s="23"/>
      <c r="G166" s="23"/>
      <c r="H166" s="23"/>
      <c r="I166" s="23"/>
      <c r="J166" s="23"/>
      <c r="K166" s="23"/>
      <c r="L166" s="23"/>
      <c r="M166" s="24" t="str">
        <f>HYPERLINK("#'Test Cases'!A5","↑ Summary")</f>
        <v>↑ Summary</v>
      </c>
    </row>
    <row r="167" ht="18" customHeight="1" spans="1:13" x14ac:dyDescent="0.25">
      <c r="A167" s="25" t="s">
        <v>618</v>
      </c>
      <c r="B167" s="25"/>
      <c r="C167" s="25"/>
      <c r="D167" s="25"/>
      <c r="E167" s="25"/>
      <c r="F167" s="25"/>
      <c r="G167" s="25"/>
      <c r="H167" s="25"/>
      <c r="I167" s="25"/>
      <c r="J167" s="25"/>
      <c r="K167" s="25"/>
      <c r="L167" s="25"/>
      <c r="M167" s="25"/>
    </row>
    <row r="168" ht="30" customHeight="1" spans="1:13" x14ac:dyDescent="0.25">
      <c r="A168" s="26" t="s">
        <v>32</v>
      </c>
      <c r="B168" s="26" t="s">
        <v>33</v>
      </c>
      <c r="C168" s="26" t="s">
        <v>34</v>
      </c>
      <c r="D168" s="26" t="s">
        <v>35</v>
      </c>
      <c r="E168" s="26" t="s">
        <v>36</v>
      </c>
      <c r="F168" s="26" t="s">
        <v>37</v>
      </c>
      <c r="G168" s="26" t="s">
        <v>38</v>
      </c>
      <c r="H168" s="26" t="s">
        <v>39</v>
      </c>
      <c r="I168" s="26" t="s">
        <v>40</v>
      </c>
      <c r="J168" s="26" t="s">
        <v>41</v>
      </c>
      <c r="K168" s="26" t="s">
        <v>42</v>
      </c>
      <c r="L168" s="26" t="s">
        <v>43</v>
      </c>
      <c r="M168" s="26" t="s">
        <v>44</v>
      </c>
    </row>
    <row r="169" ht="96" customHeight="1" spans="1:13" x14ac:dyDescent="0.25">
      <c r="A169" s="27">
        <v>1</v>
      </c>
      <c r="B169" s="28" t="s">
        <v>619</v>
      </c>
      <c r="C169" s="29" t="s">
        <v>620</v>
      </c>
      <c r="D169" s="30" t="s">
        <v>621</v>
      </c>
      <c r="E169" s="29" t="s">
        <v>622</v>
      </c>
      <c r="F169" s="29" t="s">
        <v>623</v>
      </c>
      <c r="G169" s="27" t="s">
        <v>77</v>
      </c>
      <c r="H169" s="43" t="s">
        <v>62</v>
      </c>
      <c r="I169" s="44" t="s">
        <v>78</v>
      </c>
      <c r="J169" s="29" t="s">
        <v>624</v>
      </c>
      <c r="K169" s="33" t="s">
        <v>54</v>
      </c>
      <c r="L169" s="34" t="s">
        <v>55</v>
      </c>
      <c r="M169" s="29" t="s">
        <v>53</v>
      </c>
    </row>
    <row r="170" ht="81" customHeight="1" spans="1:13" x14ac:dyDescent="0.25">
      <c r="A170" s="35">
        <v>2</v>
      </c>
      <c r="B170" s="36" t="s">
        <v>625</v>
      </c>
      <c r="C170" s="37" t="s">
        <v>626</v>
      </c>
      <c r="D170" s="38" t="s">
        <v>627</v>
      </c>
      <c r="E170" s="37" t="s">
        <v>628</v>
      </c>
      <c r="F170" s="37" t="s">
        <v>629</v>
      </c>
      <c r="G170" s="35" t="s">
        <v>50</v>
      </c>
      <c r="H170" s="48" t="s">
        <v>51</v>
      </c>
      <c r="I170" s="45" t="s">
        <v>52</v>
      </c>
      <c r="J170" s="37" t="s">
        <v>53</v>
      </c>
      <c r="K170" s="33" t="s">
        <v>54</v>
      </c>
      <c r="L170" s="41" t="s">
        <v>55</v>
      </c>
      <c r="M170" s="37" t="s">
        <v>53</v>
      </c>
    </row>
    <row r="171" ht="51" customHeight="1" spans="1:13" x14ac:dyDescent="0.25">
      <c r="A171" s="27">
        <v>3</v>
      </c>
      <c r="B171" s="28" t="s">
        <v>630</v>
      </c>
      <c r="C171" s="29" t="s">
        <v>631</v>
      </c>
      <c r="D171" s="30" t="s">
        <v>632</v>
      </c>
      <c r="E171" s="29" t="s">
        <v>633</v>
      </c>
      <c r="F171" s="29" t="s">
        <v>634</v>
      </c>
      <c r="G171" s="27" t="s">
        <v>77</v>
      </c>
      <c r="H171" s="43" t="s">
        <v>62</v>
      </c>
      <c r="I171" s="32" t="s">
        <v>52</v>
      </c>
      <c r="J171" s="29" t="s">
        <v>53</v>
      </c>
      <c r="K171" s="33" t="s">
        <v>54</v>
      </c>
      <c r="L171" s="34" t="s">
        <v>55</v>
      </c>
      <c r="M171" s="29" t="s">
        <v>53</v>
      </c>
    </row>
    <row r="172" ht="66" customHeight="1" spans="1:13" x14ac:dyDescent="0.25">
      <c r="A172" s="35">
        <v>4</v>
      </c>
      <c r="B172" s="36" t="s">
        <v>635</v>
      </c>
      <c r="C172" s="37" t="s">
        <v>636</v>
      </c>
      <c r="D172" s="38" t="s">
        <v>637</v>
      </c>
      <c r="E172" s="37" t="s">
        <v>638</v>
      </c>
      <c r="F172" s="37" t="s">
        <v>639</v>
      </c>
      <c r="G172" s="35" t="s">
        <v>50</v>
      </c>
      <c r="H172" s="39" t="s">
        <v>62</v>
      </c>
      <c r="I172" s="40" t="s">
        <v>63</v>
      </c>
      <c r="J172" s="37" t="s">
        <v>53</v>
      </c>
      <c r="K172" s="33" t="s">
        <v>54</v>
      </c>
      <c r="L172" s="41" t="s">
        <v>55</v>
      </c>
      <c r="M172" s="37" t="s">
        <v>53</v>
      </c>
    </row>
    <row r="173" ht="66" customHeight="1" spans="1:13" x14ac:dyDescent="0.25">
      <c r="A173" s="27">
        <v>5</v>
      </c>
      <c r="B173" s="28" t="s">
        <v>640</v>
      </c>
      <c r="C173" s="29" t="s">
        <v>641</v>
      </c>
      <c r="D173" s="30" t="s">
        <v>642</v>
      </c>
      <c r="E173" s="29" t="s">
        <v>643</v>
      </c>
      <c r="F173" s="29" t="s">
        <v>644</v>
      </c>
      <c r="G173" s="27" t="s">
        <v>77</v>
      </c>
      <c r="H173" s="43" t="s">
        <v>62</v>
      </c>
      <c r="I173" s="44" t="s">
        <v>78</v>
      </c>
      <c r="J173" s="29" t="s">
        <v>53</v>
      </c>
      <c r="K173" s="33" t="s">
        <v>54</v>
      </c>
      <c r="L173" s="34" t="s">
        <v>55</v>
      </c>
      <c r="M173" s="29" t="s">
        <v>53</v>
      </c>
    </row>
    <row r="175" ht="28" customHeight="1" spans="1:13" x14ac:dyDescent="0.25">
      <c r="A175" s="23" t="s">
        <v>645</v>
      </c>
      <c r="B175" s="23"/>
      <c r="C175" s="23"/>
      <c r="D175" s="23"/>
      <c r="E175" s="23"/>
      <c r="F175" s="23"/>
      <c r="G175" s="23"/>
      <c r="H175" s="23"/>
      <c r="I175" s="23"/>
      <c r="J175" s="23"/>
      <c r="K175" s="23"/>
      <c r="L175" s="23"/>
      <c r="M175" s="24" t="str">
        <f>HYPERLINK("#'Test Cases'!A5","↑ Summary")</f>
        <v>↑ Summary</v>
      </c>
    </row>
    <row r="176" ht="18" customHeight="1" spans="1:13" x14ac:dyDescent="0.25">
      <c r="A176" s="25" t="s">
        <v>646</v>
      </c>
      <c r="B176" s="25"/>
      <c r="C176" s="25"/>
      <c r="D176" s="25"/>
      <c r="E176" s="25"/>
      <c r="F176" s="25"/>
      <c r="G176" s="25"/>
      <c r="H176" s="25"/>
      <c r="I176" s="25"/>
      <c r="J176" s="25"/>
      <c r="K176" s="25"/>
      <c r="L176" s="25"/>
      <c r="M176" s="25"/>
    </row>
    <row r="177" ht="30" customHeight="1" spans="1:13" x14ac:dyDescent="0.25">
      <c r="A177" s="26" t="s">
        <v>32</v>
      </c>
      <c r="B177" s="26" t="s">
        <v>33</v>
      </c>
      <c r="C177" s="26" t="s">
        <v>34</v>
      </c>
      <c r="D177" s="26" t="s">
        <v>35</v>
      </c>
      <c r="E177" s="26" t="s">
        <v>36</v>
      </c>
      <c r="F177" s="26" t="s">
        <v>37</v>
      </c>
      <c r="G177" s="26" t="s">
        <v>38</v>
      </c>
      <c r="H177" s="26" t="s">
        <v>39</v>
      </c>
      <c r="I177" s="26" t="s">
        <v>40</v>
      </c>
      <c r="J177" s="26" t="s">
        <v>41</v>
      </c>
      <c r="K177" s="26" t="s">
        <v>42</v>
      </c>
      <c r="L177" s="26" t="s">
        <v>43</v>
      </c>
      <c r="M177" s="26" t="s">
        <v>44</v>
      </c>
    </row>
    <row r="178" ht="66" customHeight="1" spans="1:13" x14ac:dyDescent="0.25">
      <c r="A178" s="27">
        <v>1</v>
      </c>
      <c r="B178" s="28" t="s">
        <v>647</v>
      </c>
      <c r="C178" s="29" t="s">
        <v>648</v>
      </c>
      <c r="D178" s="30" t="s">
        <v>649</v>
      </c>
      <c r="E178" s="29" t="s">
        <v>650</v>
      </c>
      <c r="F178" s="29" t="s">
        <v>651</v>
      </c>
      <c r="G178" s="27" t="s">
        <v>50</v>
      </c>
      <c r="H178" s="43" t="s">
        <v>62</v>
      </c>
      <c r="I178" s="32" t="s">
        <v>52</v>
      </c>
      <c r="J178" s="29" t="s">
        <v>53</v>
      </c>
      <c r="K178" s="33" t="s">
        <v>54</v>
      </c>
      <c r="L178" s="34" t="s">
        <v>55</v>
      </c>
      <c r="M178" s="29" t="s">
        <v>53</v>
      </c>
    </row>
    <row r="179" ht="66" customHeight="1" spans="1:13" x14ac:dyDescent="0.25">
      <c r="A179" s="35">
        <v>2</v>
      </c>
      <c r="B179" s="36" t="s">
        <v>652</v>
      </c>
      <c r="C179" s="37" t="s">
        <v>653</v>
      </c>
      <c r="D179" s="38" t="s">
        <v>654</v>
      </c>
      <c r="E179" s="37" t="s">
        <v>655</v>
      </c>
      <c r="F179" s="37" t="s">
        <v>656</v>
      </c>
      <c r="G179" s="35" t="s">
        <v>77</v>
      </c>
      <c r="H179" s="39" t="s">
        <v>62</v>
      </c>
      <c r="I179" s="42" t="s">
        <v>78</v>
      </c>
      <c r="J179" s="37" t="s">
        <v>139</v>
      </c>
      <c r="K179" s="33" t="s">
        <v>54</v>
      </c>
      <c r="L179" s="41" t="s">
        <v>55</v>
      </c>
      <c r="M179" s="37" t="s">
        <v>53</v>
      </c>
    </row>
    <row r="180" ht="81" customHeight="1" spans="1:13" x14ac:dyDescent="0.25">
      <c r="A180" s="27">
        <v>3</v>
      </c>
      <c r="B180" s="28" t="s">
        <v>657</v>
      </c>
      <c r="C180" s="29" t="s">
        <v>658</v>
      </c>
      <c r="D180" s="30" t="s">
        <v>659</v>
      </c>
      <c r="E180" s="29" t="s">
        <v>660</v>
      </c>
      <c r="F180" s="29" t="s">
        <v>661</v>
      </c>
      <c r="G180" s="27" t="s">
        <v>77</v>
      </c>
      <c r="H180" s="43" t="s">
        <v>62</v>
      </c>
      <c r="I180" s="44" t="s">
        <v>78</v>
      </c>
      <c r="J180" s="29" t="s">
        <v>236</v>
      </c>
      <c r="K180" s="33" t="s">
        <v>54</v>
      </c>
      <c r="L180" s="34" t="s">
        <v>55</v>
      </c>
      <c r="M180" s="29" t="s">
        <v>53</v>
      </c>
    </row>
    <row r="181" ht="81" customHeight="1" spans="1:13" x14ac:dyDescent="0.25">
      <c r="A181" s="35">
        <v>4</v>
      </c>
      <c r="B181" s="36" t="s">
        <v>662</v>
      </c>
      <c r="C181" s="37" t="s">
        <v>663</v>
      </c>
      <c r="D181" s="38" t="s">
        <v>596</v>
      </c>
      <c r="E181" s="37" t="s">
        <v>664</v>
      </c>
      <c r="F181" s="37" t="s">
        <v>665</v>
      </c>
      <c r="G181" s="35" t="s">
        <v>61</v>
      </c>
      <c r="H181" s="39" t="s">
        <v>62</v>
      </c>
      <c r="I181" s="40" t="s">
        <v>63</v>
      </c>
      <c r="J181" s="37" t="s">
        <v>53</v>
      </c>
      <c r="K181" s="33" t="s">
        <v>54</v>
      </c>
      <c r="L181" s="41" t="s">
        <v>55</v>
      </c>
      <c r="M181" s="37" t="s">
        <v>53</v>
      </c>
    </row>
    <row r="183" ht="28" customHeight="1" spans="1:13" x14ac:dyDescent="0.25">
      <c r="A183" s="23" t="s">
        <v>666</v>
      </c>
      <c r="B183" s="23"/>
      <c r="C183" s="23"/>
      <c r="D183" s="23"/>
      <c r="E183" s="23"/>
      <c r="F183" s="23"/>
      <c r="G183" s="23"/>
      <c r="H183" s="23"/>
      <c r="I183" s="23"/>
      <c r="J183" s="23"/>
      <c r="K183" s="23"/>
      <c r="L183" s="23"/>
      <c r="M183" s="24" t="str">
        <f>HYPERLINK("#'Test Cases'!A5","↑ Summary")</f>
        <v>↑ Summary</v>
      </c>
    </row>
    <row r="184" ht="18" customHeight="1" spans="1:13" x14ac:dyDescent="0.25">
      <c r="A184" s="25" t="s">
        <v>667</v>
      </c>
      <c r="B184" s="25"/>
      <c r="C184" s="25"/>
      <c r="D184" s="25"/>
      <c r="E184" s="25"/>
      <c r="F184" s="25"/>
      <c r="G184" s="25"/>
      <c r="H184" s="25"/>
      <c r="I184" s="25"/>
      <c r="J184" s="25"/>
      <c r="K184" s="25"/>
      <c r="L184" s="25"/>
      <c r="M184" s="25"/>
    </row>
    <row r="185" ht="30" customHeight="1" spans="1:13" x14ac:dyDescent="0.25">
      <c r="A185" s="26" t="s">
        <v>32</v>
      </c>
      <c r="B185" s="26" t="s">
        <v>33</v>
      </c>
      <c r="C185" s="26" t="s">
        <v>34</v>
      </c>
      <c r="D185" s="26" t="s">
        <v>35</v>
      </c>
      <c r="E185" s="26" t="s">
        <v>36</v>
      </c>
      <c r="F185" s="26" t="s">
        <v>37</v>
      </c>
      <c r="G185" s="26" t="s">
        <v>38</v>
      </c>
      <c r="H185" s="26" t="s">
        <v>39</v>
      </c>
      <c r="I185" s="26" t="s">
        <v>40</v>
      </c>
      <c r="J185" s="26" t="s">
        <v>41</v>
      </c>
      <c r="K185" s="26" t="s">
        <v>42</v>
      </c>
      <c r="L185" s="26" t="s">
        <v>43</v>
      </c>
      <c r="M185" s="26" t="s">
        <v>44</v>
      </c>
    </row>
    <row r="186" ht="66" customHeight="1" spans="1:13" x14ac:dyDescent="0.25">
      <c r="A186" s="27">
        <v>1</v>
      </c>
      <c r="B186" s="28" t="s">
        <v>668</v>
      </c>
      <c r="C186" s="29" t="s">
        <v>669</v>
      </c>
      <c r="D186" s="30" t="s">
        <v>670</v>
      </c>
      <c r="E186" s="29" t="s">
        <v>671</v>
      </c>
      <c r="F186" s="29" t="s">
        <v>672</v>
      </c>
      <c r="G186" s="27" t="s">
        <v>50</v>
      </c>
      <c r="H186" s="31" t="s">
        <v>51</v>
      </c>
      <c r="I186" s="32" t="s">
        <v>52</v>
      </c>
      <c r="J186" s="29" t="s">
        <v>53</v>
      </c>
      <c r="K186" s="33" t="s">
        <v>54</v>
      </c>
      <c r="L186" s="34" t="s">
        <v>55</v>
      </c>
      <c r="M186" s="29" t="s">
        <v>53</v>
      </c>
    </row>
    <row r="187" ht="51" customHeight="1" spans="1:13" x14ac:dyDescent="0.25">
      <c r="A187" s="35">
        <v>2</v>
      </c>
      <c r="B187" s="36" t="s">
        <v>673</v>
      </c>
      <c r="C187" s="37" t="s">
        <v>674</v>
      </c>
      <c r="D187" s="38" t="s">
        <v>675</v>
      </c>
      <c r="E187" s="37" t="s">
        <v>676</v>
      </c>
      <c r="F187" s="37" t="s">
        <v>677</v>
      </c>
      <c r="G187" s="35" t="s">
        <v>61</v>
      </c>
      <c r="H187" s="39" t="s">
        <v>62</v>
      </c>
      <c r="I187" s="40" t="s">
        <v>63</v>
      </c>
      <c r="J187" s="37" t="s">
        <v>53</v>
      </c>
      <c r="K187" s="33" t="s">
        <v>54</v>
      </c>
      <c r="L187" s="41" t="s">
        <v>55</v>
      </c>
      <c r="M187" s="37" t="s">
        <v>53</v>
      </c>
    </row>
    <row r="189" ht="28" customHeight="1" spans="1:13" x14ac:dyDescent="0.25">
      <c r="A189" s="23" t="s">
        <v>678</v>
      </c>
      <c r="B189" s="23"/>
      <c r="C189" s="23"/>
      <c r="D189" s="23"/>
      <c r="E189" s="23"/>
      <c r="F189" s="23"/>
      <c r="G189" s="23"/>
      <c r="H189" s="23"/>
      <c r="I189" s="23"/>
      <c r="J189" s="23"/>
      <c r="K189" s="23"/>
      <c r="L189" s="23"/>
      <c r="M189" s="24" t="str">
        <f>HYPERLINK("#'Test Cases'!A5","↑ Summary")</f>
        <v>↑ Summary</v>
      </c>
    </row>
    <row r="190" ht="18" customHeight="1" spans="1:13" x14ac:dyDescent="0.25">
      <c r="A190" s="25" t="s">
        <v>679</v>
      </c>
      <c r="B190" s="25"/>
      <c r="C190" s="25"/>
      <c r="D190" s="25"/>
      <c r="E190" s="25"/>
      <c r="F190" s="25"/>
      <c r="G190" s="25"/>
      <c r="H190" s="25"/>
      <c r="I190" s="25"/>
      <c r="J190" s="25"/>
      <c r="K190" s="25"/>
      <c r="L190" s="25"/>
      <c r="M190" s="25"/>
    </row>
    <row r="191" ht="30" customHeight="1" spans="1:13" x14ac:dyDescent="0.25">
      <c r="A191" s="26" t="s">
        <v>32</v>
      </c>
      <c r="B191" s="26" t="s">
        <v>33</v>
      </c>
      <c r="C191" s="26" t="s">
        <v>34</v>
      </c>
      <c r="D191" s="26" t="s">
        <v>35</v>
      </c>
      <c r="E191" s="26" t="s">
        <v>36</v>
      </c>
      <c r="F191" s="26" t="s">
        <v>37</v>
      </c>
      <c r="G191" s="26" t="s">
        <v>38</v>
      </c>
      <c r="H191" s="26" t="s">
        <v>39</v>
      </c>
      <c r="I191" s="26" t="s">
        <v>40</v>
      </c>
      <c r="J191" s="26" t="s">
        <v>41</v>
      </c>
      <c r="K191" s="26" t="s">
        <v>42</v>
      </c>
      <c r="L191" s="26" t="s">
        <v>43</v>
      </c>
      <c r="M191" s="26" t="s">
        <v>44</v>
      </c>
    </row>
    <row r="192" ht="96" customHeight="1" spans="1:13" x14ac:dyDescent="0.25">
      <c r="A192" s="27">
        <v>1</v>
      </c>
      <c r="B192" s="28" t="s">
        <v>680</v>
      </c>
      <c r="C192" s="29" t="s">
        <v>681</v>
      </c>
      <c r="D192" s="30" t="s">
        <v>682</v>
      </c>
      <c r="E192" s="29" t="s">
        <v>683</v>
      </c>
      <c r="F192" s="29" t="s">
        <v>684</v>
      </c>
      <c r="G192" s="27" t="s">
        <v>77</v>
      </c>
      <c r="H192" s="43" t="s">
        <v>62</v>
      </c>
      <c r="I192" s="44" t="s">
        <v>78</v>
      </c>
      <c r="J192" s="29" t="s">
        <v>53</v>
      </c>
      <c r="K192" s="33" t="s">
        <v>54</v>
      </c>
      <c r="L192" s="34" t="s">
        <v>55</v>
      </c>
      <c r="M192" s="29" t="s">
        <v>53</v>
      </c>
    </row>
    <row r="193" ht="111" customHeight="1" spans="1:13" x14ac:dyDescent="0.25">
      <c r="A193" s="35">
        <v>2</v>
      </c>
      <c r="B193" s="36" t="s">
        <v>685</v>
      </c>
      <c r="C193" s="37" t="s">
        <v>686</v>
      </c>
      <c r="D193" s="38" t="s">
        <v>687</v>
      </c>
      <c r="E193" s="37" t="s">
        <v>688</v>
      </c>
      <c r="F193" s="37" t="s">
        <v>689</v>
      </c>
      <c r="G193" s="35" t="s">
        <v>77</v>
      </c>
      <c r="H193" s="39" t="s">
        <v>62</v>
      </c>
      <c r="I193" s="42" t="s">
        <v>78</v>
      </c>
      <c r="J193" s="37" t="s">
        <v>150</v>
      </c>
      <c r="K193" s="33" t="s">
        <v>54</v>
      </c>
      <c r="L193" s="41" t="s">
        <v>55</v>
      </c>
      <c r="M193" s="37" t="s">
        <v>53</v>
      </c>
    </row>
    <row r="194" ht="96" customHeight="1" spans="1:13" x14ac:dyDescent="0.25">
      <c r="A194" s="27">
        <v>3</v>
      </c>
      <c r="B194" s="28" t="s">
        <v>690</v>
      </c>
      <c r="C194" s="29" t="s">
        <v>691</v>
      </c>
      <c r="D194" s="30" t="s">
        <v>692</v>
      </c>
      <c r="E194" s="29" t="s">
        <v>693</v>
      </c>
      <c r="F194" s="29" t="s">
        <v>694</v>
      </c>
      <c r="G194" s="27" t="s">
        <v>695</v>
      </c>
      <c r="H194" s="31" t="s">
        <v>51</v>
      </c>
      <c r="I194" s="49" t="s">
        <v>213</v>
      </c>
      <c r="J194" s="29" t="s">
        <v>696</v>
      </c>
      <c r="K194" s="33" t="s">
        <v>54</v>
      </c>
      <c r="L194" s="34" t="s">
        <v>55</v>
      </c>
      <c r="M194" s="29" t="s">
        <v>53</v>
      </c>
    </row>
    <row r="195" ht="81" customHeight="1" spans="1:13" x14ac:dyDescent="0.25">
      <c r="A195" s="35">
        <v>4</v>
      </c>
      <c r="B195" s="36" t="s">
        <v>697</v>
      </c>
      <c r="C195" s="37" t="s">
        <v>698</v>
      </c>
      <c r="D195" s="38" t="s">
        <v>699</v>
      </c>
      <c r="E195" s="37" t="s">
        <v>700</v>
      </c>
      <c r="F195" s="37" t="s">
        <v>701</v>
      </c>
      <c r="G195" s="35" t="s">
        <v>695</v>
      </c>
      <c r="H195" s="39" t="s">
        <v>62</v>
      </c>
      <c r="I195" s="47" t="s">
        <v>213</v>
      </c>
      <c r="J195" s="37" t="s">
        <v>696</v>
      </c>
      <c r="K195" s="33" t="s">
        <v>54</v>
      </c>
      <c r="L195" s="41" t="s">
        <v>55</v>
      </c>
      <c r="M195" s="37" t="s">
        <v>53</v>
      </c>
    </row>
    <row r="196" ht="96" customHeight="1" spans="1:13" x14ac:dyDescent="0.25">
      <c r="A196" s="27">
        <v>5</v>
      </c>
      <c r="B196" s="28" t="s">
        <v>702</v>
      </c>
      <c r="C196" s="29" t="s">
        <v>703</v>
      </c>
      <c r="D196" s="30" t="s">
        <v>704</v>
      </c>
      <c r="E196" s="29" t="s">
        <v>705</v>
      </c>
      <c r="F196" s="29" t="s">
        <v>706</v>
      </c>
      <c r="G196" s="27" t="s">
        <v>695</v>
      </c>
      <c r="H196" s="43" t="s">
        <v>62</v>
      </c>
      <c r="I196" s="46" t="s">
        <v>63</v>
      </c>
      <c r="J196" s="29" t="s">
        <v>53</v>
      </c>
      <c r="K196" s="33" t="s">
        <v>54</v>
      </c>
      <c r="L196" s="34" t="s">
        <v>55</v>
      </c>
      <c r="M196" s="29" t="s">
        <v>53</v>
      </c>
    </row>
    <row r="197" ht="111" customHeight="1" spans="1:13" x14ac:dyDescent="0.25">
      <c r="A197" s="35">
        <v>6</v>
      </c>
      <c r="B197" s="36" t="s">
        <v>707</v>
      </c>
      <c r="C197" s="37" t="s">
        <v>708</v>
      </c>
      <c r="D197" s="38" t="s">
        <v>709</v>
      </c>
      <c r="E197" s="37" t="s">
        <v>710</v>
      </c>
      <c r="F197" s="37" t="s">
        <v>711</v>
      </c>
      <c r="G197" s="35" t="s">
        <v>695</v>
      </c>
      <c r="H197" s="39" t="s">
        <v>62</v>
      </c>
      <c r="I197" s="40" t="s">
        <v>63</v>
      </c>
      <c r="J197" s="37" t="s">
        <v>712</v>
      </c>
      <c r="K197" s="33" t="s">
        <v>54</v>
      </c>
      <c r="L197" s="41" t="s">
        <v>55</v>
      </c>
      <c r="M197" s="37" t="s">
        <v>53</v>
      </c>
    </row>
    <row r="198" ht="96" customHeight="1" spans="1:13" x14ac:dyDescent="0.25">
      <c r="A198" s="27">
        <v>7</v>
      </c>
      <c r="B198" s="28" t="s">
        <v>713</v>
      </c>
      <c r="C198" s="29" t="s">
        <v>714</v>
      </c>
      <c r="D198" s="30" t="s">
        <v>715</v>
      </c>
      <c r="E198" s="29" t="s">
        <v>716</v>
      </c>
      <c r="F198" s="29" t="s">
        <v>717</v>
      </c>
      <c r="G198" s="27" t="s">
        <v>695</v>
      </c>
      <c r="H198" s="43" t="s">
        <v>62</v>
      </c>
      <c r="I198" s="46" t="s">
        <v>63</v>
      </c>
      <c r="J198" s="29" t="s">
        <v>53</v>
      </c>
      <c r="K198" s="33" t="s">
        <v>54</v>
      </c>
      <c r="L198" s="34" t="s">
        <v>55</v>
      </c>
      <c r="M198" s="29" t="s">
        <v>53</v>
      </c>
    </row>
    <row r="199" ht="81" customHeight="1" spans="1:13" x14ac:dyDescent="0.25">
      <c r="A199" s="35">
        <v>8</v>
      </c>
      <c r="B199" s="36" t="s">
        <v>718</v>
      </c>
      <c r="C199" s="37" t="s">
        <v>719</v>
      </c>
      <c r="D199" s="38" t="s">
        <v>720</v>
      </c>
      <c r="E199" s="37" t="s">
        <v>721</v>
      </c>
      <c r="F199" s="37" t="s">
        <v>722</v>
      </c>
      <c r="G199" s="35" t="s">
        <v>77</v>
      </c>
      <c r="H199" s="39" t="s">
        <v>62</v>
      </c>
      <c r="I199" s="45" t="s">
        <v>52</v>
      </c>
      <c r="J199" s="37" t="s">
        <v>723</v>
      </c>
      <c r="K199" s="33" t="s">
        <v>54</v>
      </c>
      <c r="L199" s="41" t="s">
        <v>55</v>
      </c>
      <c r="M199" s="37" t="s">
        <v>53</v>
      </c>
    </row>
    <row r="200" ht="81" customHeight="1" spans="1:13" x14ac:dyDescent="0.25">
      <c r="A200" s="27">
        <v>9</v>
      </c>
      <c r="B200" s="28" t="s">
        <v>724</v>
      </c>
      <c r="C200" s="29" t="s">
        <v>725</v>
      </c>
      <c r="D200" s="30" t="s">
        <v>726</v>
      </c>
      <c r="E200" s="29" t="s">
        <v>727</v>
      </c>
      <c r="F200" s="29" t="s">
        <v>728</v>
      </c>
      <c r="G200" s="27" t="s">
        <v>77</v>
      </c>
      <c r="H200" s="43" t="s">
        <v>62</v>
      </c>
      <c r="I200" s="32" t="s">
        <v>52</v>
      </c>
      <c r="J200" s="29" t="s">
        <v>202</v>
      </c>
      <c r="K200" s="33" t="s">
        <v>54</v>
      </c>
      <c r="L200" s="34" t="s">
        <v>55</v>
      </c>
      <c r="M200" s="29" t="s">
        <v>53</v>
      </c>
    </row>
  </sheetData>
  <mergeCells count="71">
    <mergeCell ref="A1:M1"/>
    <mergeCell ref="A2:M2"/>
    <mergeCell ref="A3:C3"/>
    <mergeCell ref="D3:E3"/>
    <mergeCell ref="F3:G3"/>
    <mergeCell ref="H3:J3"/>
    <mergeCell ref="K3:M3"/>
    <mergeCell ref="A5:M5"/>
    <mergeCell ref="B6:C6"/>
    <mergeCell ref="D6:E6"/>
    <mergeCell ref="K6:M6"/>
    <mergeCell ref="B7:C7"/>
    <mergeCell ref="D7:E7"/>
    <mergeCell ref="K7:M7"/>
    <mergeCell ref="B8:C8"/>
    <mergeCell ref="D8:E8"/>
    <mergeCell ref="K8:M8"/>
    <mergeCell ref="B9:C9"/>
    <mergeCell ref="D9:E9"/>
    <mergeCell ref="K9:M9"/>
    <mergeCell ref="B10:C10"/>
    <mergeCell ref="D10:E10"/>
    <mergeCell ref="K10:M10"/>
    <mergeCell ref="B11:C11"/>
    <mergeCell ref="D11:E11"/>
    <mergeCell ref="K11:M11"/>
    <mergeCell ref="B12:C12"/>
    <mergeCell ref="D12:E12"/>
    <mergeCell ref="K12:M12"/>
    <mergeCell ref="B13:C13"/>
    <mergeCell ref="D13:E13"/>
    <mergeCell ref="K13:M13"/>
    <mergeCell ref="B14:C14"/>
    <mergeCell ref="D14:E14"/>
    <mergeCell ref="K14:M14"/>
    <mergeCell ref="B15:C15"/>
    <mergeCell ref="D15:E15"/>
    <mergeCell ref="K15:M15"/>
    <mergeCell ref="B16:C16"/>
    <mergeCell ref="D16:E16"/>
    <mergeCell ref="K16:M16"/>
    <mergeCell ref="B17:C17"/>
    <mergeCell ref="D17:E17"/>
    <mergeCell ref="K17:M17"/>
    <mergeCell ref="B18:C18"/>
    <mergeCell ref="D18:E18"/>
    <mergeCell ref="K18:M18"/>
    <mergeCell ref="A21:L21"/>
    <mergeCell ref="A22:M22"/>
    <mergeCell ref="A27:L27"/>
    <mergeCell ref="A28:M28"/>
    <mergeCell ref="A86:L86"/>
    <mergeCell ref="A87:M87"/>
    <mergeCell ref="A105:L105"/>
    <mergeCell ref="A106:M106"/>
    <mergeCell ref="A125:L125"/>
    <mergeCell ref="A126:M126"/>
    <mergeCell ref="A139:L139"/>
    <mergeCell ref="A140:M140"/>
    <mergeCell ref="A150:L150"/>
    <mergeCell ref="A151:M151"/>
    <mergeCell ref="A160:L160"/>
    <mergeCell ref="A161:M161"/>
    <mergeCell ref="A166:L166"/>
    <mergeCell ref="A167:M167"/>
    <mergeCell ref="A175:L175"/>
    <mergeCell ref="A176:M176"/>
    <mergeCell ref="A183:L183"/>
    <mergeCell ref="A184:M184"/>
    <mergeCell ref="A189:L189"/>
    <mergeCell ref="A190:M190"/>
  </mergeCells>
  <pageMargins left="0.3" right="0.3" top="0.5" bottom="0.5" header="0.2" footer="0.2"/>
  <pageSetup paperSize="9" orientation="landscape" horizontalDpi="4294967295" verticalDpi="4294967295" scale="100" fitToWidth="1" fitToHeight="0"/>
  <headerFooter>
    <oddFooter>&amp;L&amp;8PII Service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PII API automation</dc:creator>
  <dc:title/>
  <dc:subject/>
  <dc:description/>
  <cp:keywords/>
  <cp:category/>
  <cp:lastModifiedBy>Unknown</cp:lastModifiedBy>
  <dcterms:created xsi:type="dcterms:W3CDTF">2026-09-28T08:45:38Z</dcterms:created>
  <dcterms:modified xsi:type="dcterms:W3CDTF">2026-09-28T08:45:38Z</dcterms:modified>
</cp:coreProperties>
</file>