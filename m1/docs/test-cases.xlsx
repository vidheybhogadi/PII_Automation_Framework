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definedNames>
    <definedName name="_xlnm.Print_Titles" localSheetId="0">'Test Cases'!$1:$3</definedName>
  </definedNames>
  <calcPr calcId="171027"/>
</workbook>
</file>

<file path=xl/sharedStrings.xml><?xml version="1.0" encoding="utf-8"?>
<sst xmlns="http://schemas.openxmlformats.org/spreadsheetml/2006/main" count="2261" uniqueCount="909">
  <si>
    <t>Aisle PII API Automation — API Test Cases   (Aisle API → PII service → DB validation)</t>
  </si>
  <si>
    <t>Last run: 2026-10-07 03:44 UTC  ·  environment staging  ·  projects=api  ·  took 328.8s</t>
  </si>
  <si>
    <t>Total test cases: 109</t>
  </si>
  <si>
    <t>✔ Pass: 88</t>
  </si>
  <si>
    <t>✘ Fail: 0</t>
  </si>
  <si>
    <t>⚠ Security finding: 0</t>
  </si>
  <si>
    <t>⏸ Blocked: 21</t>
  </si>
  <si>
    <t>⊘ Not Applicable: 0</t>
  </si>
  <si>
    <t>— Not Tested / Skipped: 0</t>
  </si>
  <si>
    <t>Pass rate of tests run: 100%</t>
  </si>
  <si>
    <t>SUMMARY BY ENDPOINT</t>
  </si>
  <si>
    <t>#</t>
  </si>
  <si>
    <t>Endpoint</t>
  </si>
  <si>
    <t>Method and path</t>
  </si>
  <si>
    <t>Test cases</t>
  </si>
  <si>
    <t>Pass</t>
  </si>
  <si>
    <t>Fail</t>
  </si>
  <si>
    <t>Security finding</t>
  </si>
  <si>
    <t>Blocked</t>
  </si>
  <si>
    <t>Not Applicable</t>
  </si>
  <si>
    <t>Not Tested / Skipped</t>
  </si>
  <si>
    <t>Pass rate</t>
  </si>
  <si>
    <t>Go to</t>
  </si>
  <si>
    <t>GET /api/v1/pii-test/health/ready</t>
  </si>
  <si>
    <t>100%</t>
  </si>
  <si>
    <t>POST /api/v1/pii-test</t>
  </si>
  <si>
    <t>POST /api/v1/pii-test/read</t>
  </si>
  <si>
    <t>POST /api/v1/pii-test/{field}/search</t>
  </si>
  <si>
    <t>POST /api/v1/pii-test/batch/read</t>
  </si>
  <si>
    <t>POST /api/v1/pii-test/transient/phones</t>
  </si>
  <si>
    <t>POST /api/v1/pii-test/transient/phones/resolve</t>
  </si>
  <si>
    <t>POST /api/v1/pii-test/transient/phones/promote</t>
  </si>
  <si>
    <t>POST /api/v1/pii-test/free-text/keys</t>
  </si>
  <si>
    <t>POST /api/v1/pii-test/free-text/keys/read</t>
  </si>
  <si>
    <t>POST /api/v1/pii-test/free-text/keys/revoke</t>
  </si>
  <si>
    <t>several endpoints</t>
  </si>
  <si>
    <t>1.  Health check     GET /api/v1/pii-test/health/ready        1 test cases  ·  ✔ 1  ·  ✘ 0  ·  — 0</t>
  </si>
  <si>
    <t>What this endpoint does: Readiness check (requires the Aisle token).</t>
  </si>
  <si>
    <t>S/No</t>
  </si>
  <si>
    <t>TC ID</t>
  </si>
  <si>
    <t>Test Name</t>
  </si>
  <si>
    <t>Module</t>
  </si>
  <si>
    <t>Method</t>
  </si>
  <si>
    <t>Preconditions</t>
  </si>
  <si>
    <t>Request</t>
  </si>
  <si>
    <t>Steps</t>
  </si>
  <si>
    <t>Expected Result</t>
  </si>
  <si>
    <t>Validation</t>
  </si>
  <si>
    <t>Why It Matters</t>
  </si>
  <si>
    <t>Type</t>
  </si>
  <si>
    <t>Suite</t>
  </si>
  <si>
    <t>Priority</t>
  </si>
  <si>
    <t>Status</t>
  </si>
  <si>
    <t>Dependency / Blocker</t>
  </si>
  <si>
    <t>Actual Result / Remarks</t>
  </si>
  <si>
    <t>Tester Notes</t>
  </si>
  <si>
    <t>AISLE-HLT-001</t>
  </si>
  <si>
    <r>
      <rPr>
        <b/>
        <color rgb="FF0F172A"/>
      </rPr>
      <t>The health check with a valid token says the service is ready</t>
    </r>
    <r>
      <rPr>
        <color rgb="FF334155"/>
      </rPr>
      <t xml:space="preserve">
Calls the health endpoint of the Aisle facade (Aisle’s front door to the PII service) with the token (the secret pass proving the caller is Aisle’s test app).</t>
    </r>
  </si>
  <si>
    <t>Health</t>
  </si>
  <si>
    <t>/api/v1/pii-test/health/ready</t>
  </si>
  <si>
    <t>GET</t>
  </si>
  <si>
    <t>—</t>
  </si>
  <si>
    <t>GET /api/v1/pii-test/health/ready (Authorization: Bearer &lt;test token&gt;)</t>
  </si>
  <si>
    <t xml:space="preserve">1. Send the health request with the token
2. Check the status code and the reply</t>
  </si>
  <si>
    <t>200 OK. The reply says status true, message “Service is ready”, data status “ready” and no error. The first call after a quiet period can take about 15 seconds, so the test allows up to 30 seconds (seen on 2026-09-29). If the service is unavailable, every test is reported as Not Tested with that reason.</t>
  </si>
  <si>
    <t xml:space="preserve">• Status is 200
• Reply status is true and the message is “Service is ready”
• Data status is “ready”
• Error is empty</t>
  </si>
  <si>
    <t>Every other test depends on the service being up. This is the first thing to check when a run fails.</t>
  </si>
  <si>
    <t>Positive</t>
  </si>
  <si>
    <t>Smoke</t>
  </si>
  <si>
    <t>High</t>
  </si>
  <si>
    <t>✔ Pass</t>
  </si>
  <si>
    <t/>
  </si>
  <si>
    <t>2.  Save PII     POST /api/v1/pii-test        43 test cases  ·  ✔ 31  ·  ✘ 0  ·  ⏸ 12 blocked  ·  — 0</t>
  </si>
  <si>
    <t>What this endpoint does: Create or replace one PII field.</t>
  </si>
  <si>
    <t>AISLE-CON-002</t>
  </si>
  <si>
    <r>
      <rPr>
        <b/>
        <color rgb="FF0F172A"/>
      </rPr>
      <t>A validation error (422) is a list of problems, each naming the field, the message and the error type</t>
    </r>
    <r>
      <rPr>
        <color rgb="FF334155"/>
      </rPr>
      <t xml:space="preserve">
Sends a save of a fake name with an empty value, which the PII service refuses, and checks the shape of the refusal.</t>
    </r>
  </si>
  <si>
    <t>Contract</t>
  </si>
  <si>
    <t>/api/v1/pii-test</t>
  </si>
  <si>
    <t>POST</t>
  </si>
  <si>
    <t>POST /api/v1/pii-test {"user_id":"&lt;new fake user&gt;","field":"NAME","value":""}</t>
  </si>
  <si>
    <t xml:space="preserve">1. Send a save with an empty value for a new fake user
2. Check the reply is 422
3. Check the shape of the list of problems</t>
  </si>
  <si>
    <t>422 Unprocessable Entity (refused: the request format is invalid). The body has exactly one part, “detail”: a list of problems, and each problem names its location (loc), a message (msg) and an error type (type). Seen on staging on 2026-10-01.</t>
  </si>
  <si>
    <t xml:space="preserve">• Status is 422 naming body.value
• The body has exactly the key “detail”
• Every problem has loc, msg and type</t>
  </si>
  <si>
    <t>Apps read the list of problems to tell the user what to fix. If the format changed, error handling in every app would break.</t>
  </si>
  <si>
    <t>Regression</t>
  </si>
  <si>
    <t>Medium</t>
  </si>
  <si>
    <t>AISLE-DB-001</t>
  </si>
  <si>
    <r>
      <rPr>
        <b/>
        <color rgb="FF0F172A"/>
      </rPr>
      <t>A saved fake name is stored once for the right user, without readable text</t>
    </r>
    <r>
      <rPr>
        <color rgb="FF334155"/>
      </rPr>
      <t xml:space="preserve">
Saves a fake name, then checks the stored record with a read-only database query (it can only look, never change anything).</t>
    </r>
  </si>
  <si>
    <t>Database</t>
  </si>
  <si>
    <t>Blocked until QA gets read-only database access and the table layout (question BQ-04). Only look-up (SELECT) queries are ever run.</t>
  </si>
  <si>
    <t>POST /api/v1/pii-test {"user_id":"&lt;new fake user&gt;","field":"NAME","value":"QA Automation User"} · read-only database query “findPiiRecords” (tenant, user, NAME)</t>
  </si>
  <si>
    <t xml:space="preserve">1. Save a fake name for a new fake user
2. Run the read-only query for that user and the NAME field
3. Check the user, field, tenant (customer account) and key version (the number of the encryption key used)
4. Search the stored value for the name as plain text, hex and Base64 (common ways to write text as characters)</t>
  </si>
  <si>
    <t>Exactly one record for that user and NAME, under the same tenant as the save reply. The key version matches the save reply (if the database stores one). The name is not readable in the stored value. This alone does not prove encryption; the encryption format is waiting on Dev (question BQ-04).</t>
  </si>
  <si>
    <t xml:space="preserve">• Exactly one stored record
• Stored user, field and tenant match the save reply
• Stored key version matches the save reply (when present)
• The name is not readable in the stored value</t>
  </si>
  <si>
    <t>The database must hold data for the right owner, and not as readable text; otherwise anyone with database access could read it.</t>
  </si>
  <si>
    <t>Critical</t>
  </si>
  <si>
    <t>⏸ Blocked</t>
  </si>
  <si>
    <t>BQ-04: Read-only DB access and the PII table/column layout have not been provided yet</t>
  </si>
  <si>
    <t>BLOCKED — BQ-04: Read-only DB access and the PII table/column layout have not been provided yet</t>
  </si>
  <si>
    <t>AISLE-DB-002</t>
  </si>
  <si>
    <r>
      <rPr>
        <b/>
        <color rgb="FF0F172A"/>
      </rPr>
      <t>Replacing a name keeps one record and changes the stored bytes</t>
    </r>
    <r>
      <rPr>
        <color rgb="FF334155"/>
      </rPr>
      <t xml:space="preserve">
Saves fake name A, then fake name B for the same fake user, checking the stored record after each save.</t>
    </r>
  </si>
  <si>
    <t>POST /api/v1/pii-test (name A) · database query · POST /api/v1/pii-test (name B) · database query</t>
  </si>
  <si>
    <t xml:space="preserve">1. Save name A and look up the stored record
2. Save name B and look up the stored record again
3. Compare the two</t>
  </si>
  <si>
    <t>There is still exactly one record, and its stored bytes changed. Name B is not readable in it. Encryption format waiting on Dev (question BQ-04).</t>
  </si>
  <si>
    <t xml:space="preserve">• One record after each save
• The stored bytes changed after the replace
• Name B is not readable in the stored value</t>
  </si>
  <si>
    <t>Updates must not leave old personal data behind in extra records.</t>
  </si>
  <si>
    <t>AISLE-DB-004</t>
  </si>
  <si>
    <r>
      <rPr>
        <b/>
        <color rgb="FF0F172A"/>
      </rPr>
      <t>A saved fake email is stored once for the right user, without readable text</t>
    </r>
    <r>
      <rPr>
        <color rgb="FF334155"/>
      </rPr>
      <t xml:space="preserve">
Saves a fake email through the facade, then looks it up directly in the database (read-only).</t>
    </r>
  </si>
  <si>
    <t>POST /api/v1/pii-test {"user_id":"&lt;new fake user&gt;","field":"EMAIL","value":"&lt;fake email&gt;"} · read-only database lookup</t>
  </si>
  <si>
    <t xml:space="preserve">1. Save a fake email for a new fake user
2. Look up that user’s EMAIL record in the database
3. Check the stored value</t>
  </si>
  <si>
    <t>Exactly one record for that user and field EMAIL, under the same tenant as the save reply, and the stored value does not contain the email in readable form.</t>
  </si>
  <si>
    <t xml:space="preserve">• One record
• Right user, field and tenant
• Email not stored as readable text</t>
  </si>
  <si>
    <t>Emails must be stored for the right person only, and never as readable text in the database.</t>
  </si>
  <si>
    <t>AISLE-DB-005</t>
  </si>
  <si>
    <r>
      <rPr>
        <b/>
        <color rgb="FF0F172A"/>
      </rPr>
      <t>A save rejected for a blank value (422) leaves nothing in the database</t>
    </r>
    <r>
      <rPr>
        <color rgb="FF334155"/>
      </rPr>
      <t xml:space="preserve">
Sends a save with a value of only spaces (refused with 422), then looks for that user in the database (read-only).</t>
    </r>
  </si>
  <si>
    <t>POST /api/v1/pii-test {"user_id":"&lt;new fake user&gt;","field":"NAME","value":"   "} · read-only database lookup</t>
  </si>
  <si>
    <t xml:space="preserve">1. Send a save with value "   " for a new fake user
2. Check it is refused (422)
3. Look up the user in the database</t>
  </si>
  <si>
    <t>The save gets 422 Unprocessable Entity, and the database holds no record for that user.</t>
  </si>
  <si>
    <t xml:space="preserve">• Save is 422
• No database record for the user</t>
  </si>
  <si>
    <t>A refused save must leave nothing behind, not even a half-written record.</t>
  </si>
  <si>
    <t>AISLE-DB-006</t>
  </si>
  <si>
    <r>
      <rPr>
        <b/>
        <color rgb="FF0F172A"/>
      </rPr>
      <t>A saved fake name is stored in the designed encrypted layout: 12-byte nonce, 16-byte tamper seal and the key version from the save reply</t>
    </r>
    <r>
      <rPr>
        <color rgb="FF334155"/>
      </rPr>
      <t xml:space="preserve">
Saves a fake name for a new fake user. Then looks at the stored record with a read-only database query (it can only look, never change anything) and checks the parts of the encrypted value.</t>
    </r>
  </si>
  <si>
    <t>Blocked until QA gets read-only access to the PII service’s own database (not the Aisle app database) and Dev confirms the table layout (question BQ-04). The QA database user must be able to read the encrypted-value, nonce and auth-tag columns. Only look-up (SELECT) queries are ever run.</t>
  </si>
  <si>
    <t>POST /api/v1/pii-test {"user_id":"&lt;new fake user&gt;","field":"NAME","value":"&lt;fake name&gt;"} · read-only database query “findPiiRecords” (user, NAME)</t>
  </si>
  <si>
    <t xml:space="preserve">1. Save a fake name for a new fake user
2. Run the read-only query for that user’s NAME record
3. Check the size of the nonce (a random number used once per encryption) and of the auth tag (a tamper seal: decryption fails if the stored bytes are changed)
4. Check the key version (the number of the encryption key used) and that the encrypted value is not empty
5. Search the stored value for the name as plain text, hex and Base64 (common ways to write data as characters)</t>
  </si>
  <si>
    <t>The save gets 201 Created. There is exactly one record for that user and NAME. The nonce is exactly 12 bytes and the auth tag exactly 16 bytes. The encrypted value is not empty. The key version is 1 or higher and equals the key version in the save reply. The name is not readable in any form. Per the PII-service design (tech doc v3); to be confirmed by Dev (question BQ-04).</t>
  </si>
  <si>
    <t xml:space="preserve">• Save status is 201
• Exactly one stored record
• Nonce is exactly 12 bytes
• Auth tag is exactly 16 bytes
• Encrypted value is not empty
• Key version is 1 or higher and equals the save reply
• The name is not readable (plain, hex or Base64)</t>
  </si>
  <si>
    <t>The design says every value is encrypted with AES-256-GCM (a standard, strong encryption method). If a stored part has the wrong size or points to the wrong key, the value may not really be encrypted, or it may never be readable again.</t>
  </si>
  <si>
    <t>AISLE-DB-007</t>
  </si>
  <si>
    <r>
      <rPr>
        <b/>
        <color rgb="FF0F172A"/>
      </rPr>
      <t>Saving the same fake name twice re-encrypts it: still one record, with a new nonce, new encrypted bytes and a later update time</t>
    </r>
    <r>
      <rPr>
        <color rgb="FF334155"/>
      </rPr>
      <t xml:space="preserve">
Saves fake name X for a new fake user and looks up the stored record. Then saves exactly the same name again and looks it up again.</t>
    </r>
  </si>
  <si>
    <t>POST /api/v1/pii-test {"user_id":"&lt;new fake user&gt;","field":"NAME","value":"&lt;fake name X&gt;"} (twice) · read-only database query after each save</t>
  </si>
  <si>
    <t xml:space="preserve">1. Save a fake name and look up the stored record (its nonce, encrypted bytes and last-updated time are compared only as fingerprints, never printed)
2. Save the same fake name again
3. Look up the record again
4. Compare the two</t>
  </si>
  <si>
    <t>The first save gets 201 Created and the second 200 OK (replaced), as seen on staging. There is still exactly one record. The nonce changed and the encrypted bytes changed. The last-updated time is later than before. Per the PII-service design; to be confirmed by Dev (question BQ-04).</t>
  </si>
  <si>
    <t xml:space="preserve">• Statuses are 201, then 200
• One record after each save
• The nonce changed
• The encrypted bytes changed
• The last-updated time moved forward</t>
  </si>
  <si>
    <t>If the same name always produced the same stored bytes, anyone with database access could spot which users share a name, or tell when a value did not change. The design requires a fresh random nonce (a number used once) on every save.</t>
  </si>
  <si>
    <t>AISLE-DB-008</t>
  </si>
  <si>
    <r>
      <rPr>
        <b/>
        <color rgb="FF0F172A"/>
      </rPr>
      <t>A saved approved test phone is stored once, and the number is not readable in any common phone format</t>
    </r>
    <r>
      <rPr>
        <color rgb="FF334155"/>
      </rPr>
      <t xml:space="preserve">
Saves one of the team-approved test phone numbers (fake numbers reserved for testing, never a real person’s) as the PHONE of a new fake user. Then looks up the stored record.</t>
    </r>
  </si>
  <si>
    <t>Blocked until QA gets read-only access to the PII service’s own database (not the Aisle app database) and Dev confirms the table layout (question BQ-04). The QA database user must be able to read the encrypted-value, nonce and auth-tag columns. Only look-up (SELECT) queries are ever run. Also needs the approved test phones in AISLE_TEST_PHONES; without them the test is marked Blocked (CONFIG).</t>
  </si>
  <si>
    <t>POST /api/v1/pii-test {"user_id":"&lt;new fake user&gt;","field":"PHONE","value":"&lt;approved test phone&gt;"} · read-only database query (user, PHONE)</t>
  </si>
  <si>
    <t xml:space="preserve">1. Save an approved test phone for a new fake user
2. Look up that user’s PHONE record
3. Search the stored value for the number as typed, as digits only, and in international E.164 form (“+91” followed by the number), each as plain text, hex and Base64</t>
  </si>
  <si>
    <t>The save gets 201 Created. There is exactly one PHONE record for that user. Its key version (the number of the encryption key used) matches the save reply. The number is not readable in any of these forms. Per the PII-service design; to be confirmed by Dev (question BQ-04).</t>
  </si>
  <si>
    <t xml:space="preserve">• Save status is 201
• Exactly one PHONE record for the user
• Key version matches the save reply
• The number is not readable as typed, as digits only, or as +91 and the digits</t>
  </si>
  <si>
    <t>A phone number is a direct way to contact a person. It must never be readable by someone who can see the database.</t>
  </si>
  <si>
    <t>AISLE-DB-009</t>
  </si>
  <si>
    <r>
      <rPr>
        <b/>
        <color rgb="FF0F172A"/>
      </rPr>
      <t>Two users with the same fake email share one search fingerprint; a different email gets a different one; a name gets none</t>
    </r>
    <r>
      <rPr>
        <color rgb="FF334155"/>
      </rPr>
      <t xml:space="preserve">
Saves the same fake email for fake users A and B (B types it in capitals), a different fake email for user C, and a fake name for user A. Then reads the search fingerprint of each record. The fingerprint (lookup token) is a one-way code made from the cleaned-up value, so users can be found by email without decrypting anything.</t>
    </r>
  </si>
  <si>
    <t>POST /api/v1/pii-test (EMAIL for users A, B and C; NAME for user A) · read-only database query for each record</t>
  </si>
  <si>
    <t xml:space="preserve">1. Save fake email E for user A, and the same email in capitals for user B
2. Save a different fake email for user C
3. Save a fake name for user A
4. Look up the four records and compare their fingerprints without printing them</t>
  </si>
  <si>
    <t>All saves get 201 Created. A’s and B’s EMAIL fingerprints are present and equal (the fingerprint is taken after the email is cleaned up to lower case, as seen in AISLE-SR-001). C’s fingerprint is present and different. A’s NAME record has no fingerprint (empty). Per the PII-service design; to be confirmed by Dev (question BQ-04). This fits the staging observation that a shared email finds both owners (AISLE-SR-010).</t>
  </si>
  <si>
    <t xml:space="preserve">• All saves are 201
• A and B have the same fingerprint
• C has a different fingerprint
• A’s NAME record has no fingerprint</t>
  </si>
  <si>
    <t>Search relies on this fingerprint. Equal emails must give equal fingerprints, otherwise search misses people. Different emails must differ, otherwise search returns the wrong person. Names are not searchable, so they must have no fingerprint at all.</t>
  </si>
  <si>
    <t>AISLE-DB-011</t>
  </si>
  <si>
    <r>
      <rPr>
        <b/>
        <color rgb="FF0F172A"/>
      </rPr>
      <t>Exactly one encryption key is active, and a newly saved record points to a key that exists</t>
    </r>
    <r>
      <rPr>
        <color rgb="FF334155"/>
      </rPr>
      <t xml:space="preserve">
Saves a fake name. Then reads only the key-number and status columns of the key list (the database table that lists the encryption keys), never the keys themselves, and compares them with the saved record.</t>
    </r>
  </si>
  <si>
    <t>Blocked until QA gets read-only access to the PII service’s own database (not the Aisle app database) and Dev confirms the table layout (question BQ-04). The QA database user must be able to read the encrypted-value, nonce and auth-tag columns. Only look-up (SELECT) queries are ever run. The QA database user may read only the key-number and status columns of the key list.</t>
  </si>
  <si>
    <t>POST /api/v1/pii-test {"user_id":"&lt;new fake user&gt;","field":"NAME","value":"&lt;fake name&gt;"} · read-only database queries “findKeyRegistry” (key number and status only) and “findPiiRecords”</t>
  </si>
  <si>
    <t xml:space="preserve">1. Save a fake name for a new fake user
2. Read the key list (key number and status only)
3. Look up the user’s NAME record
4. Compare the record’s key version (the number of the key used) with the list</t>
  </si>
  <si>
    <t>The save gets 201 Created. Exactly one key has status ACTIVE. Every status is READY, ACTIVE or READ_ONLY. The record’s key version is in the list, and it is the ACTIVE key, because a new save always uses the active key. Per the PII-service design; to be confirmed by Dev (question BQ-04).</t>
  </si>
  <si>
    <t xml:space="preserve">• Exactly one ACTIVE key
• Every status is READY, ACTIVE or READ_ONLY
• The record’s key version is in the key list
• The record uses the ACTIVE key</t>
  </si>
  <si>
    <t>If no key, or two keys, were active, saves could fail or use the wrong key. A record pointing to a key that does not exist could never be decrypted, so the data would be lost.</t>
  </si>
  <si>
    <t>AISLE-DB-015</t>
  </si>
  <si>
    <r>
      <rPr>
        <b/>
        <color rgb="FF0F172A"/>
      </rPr>
      <t>A save refused with 403 (access denied) leaves an audit entry marked as an authorization failure</t>
    </r>
    <r>
      <rPr>
        <color rgb="FF334155"/>
      </rPr>
      <t xml:space="preserve">
Sends a save with a field name that does not exist, which staging refuses with 403 AUTHORIZATION_DENIED (access denied). Then looks up the audit entry (the service’s log of who did what) for that request.</t>
    </r>
  </si>
  <si>
    <t>Blocked until QA gets read-only access to the PII service’s audit trail (MongoDB “audit_trails”) and Dev confirms what it records and how to find a request’s entry (question BQ-30). Only look-ups are ever run.</t>
  </si>
  <si>
    <t>POST /api/v1/pii-test {"user_id":"&lt;new fake user&gt;","field":"&lt;unknown field&gt;","value":"&lt;fake name&gt;"} · read-only audit look-up by request ID</t>
  </si>
  <si>
    <t xml:space="preserve">1. Send a save with an unknown field name and a fake name
2. Check the reply is 403
3. Look up the audit entry by the request ID
4. Check the entry and search it for the fake name</t>
  </si>
  <si>
    <t>The save gets 403 Forbidden with code AUTHORIZATION_DENIED (seen on staging). There is one audit entry with action AUTHZ_FAILURE (authorization failure) and status DENIED. The fake name appears nowhere in it. Per the PII-service design; Dev must confirm which action and status this refusal records (question BQ-30).</t>
  </si>
  <si>
    <t xml:space="preserve">• Save is 403 AUTHORIZATION_DENIED
• One audit entry for the request
• Action AUTHZ_FAILURE and status DENIED
• The fake name appears nowhere in the entry</t>
  </si>
  <si>
    <t>Refused attempts are what investigators look for after misuse. If refusals were not logged, misuse would go unnoticed.</t>
  </si>
  <si>
    <t>BQ-30: No read-only access to the PII audit trail (MongoDB audit_trails) yet, and its format is not confirmed</t>
  </si>
  <si>
    <t>BLOCKED — BQ-30: No read-only access to the PII audit trail (MongoDB audit_trails) yet, and its format is not confirmed</t>
  </si>
  <si>
    <t>AISLE-NRM-001</t>
  </si>
  <si>
    <r>
      <rPr>
        <b/>
        <color rgb="FF0F172A"/>
      </rPr>
      <t>Names are trimmed and repeated spaces collapsed; upper/lower case is kept</t>
    </r>
    <r>
      <rPr>
        <color rgb="FF334155"/>
      </rPr>
      <t xml:space="preserve">
Saves a fake name with spaces around it and several spaces between the words, then reads it back.</t>
    </r>
  </si>
  <si>
    <t>Normalization</t>
  </si>
  <si>
    <t>POST /api/v1/pii-test {"user_id":"&lt;new fake user&gt;","field":"NAME","value":"   QA   Automation   User &lt;letters&gt;  "} · POST /api/v1/pii-test/read {"user_id":"&lt;same user&gt;","field_names":["NAME"]}</t>
  </si>
  <si>
    <t xml:space="preserve">1. Save the messy fake name for a new fake user
2. Read the NAME field back</t>
  </si>
  <si>
    <t>200 OK. The value has the outer spaces removed and each run of inner spaces turned into one space. Capital letters are kept exactly as typed.</t>
  </si>
  <si>
    <t xml:space="preserve">• Save succeeds
• Read status is 200
• The value equals “QA Automation User &lt;letters&gt;”: trimmed, single spaces, capitals kept</t>
  </si>
  <si>
    <t>Names cleaned up the same way every time avoid duplicates and untidy display in the app.</t>
  </si>
  <si>
    <t>AISLE-NRM-002</t>
  </si>
  <si>
    <r>
      <rPr>
        <b/>
        <color rgb="FF0F172A"/>
      </rPr>
      <t>An approved test phone written with “+”, spaces, brackets and dashes is saved as digits only</t>
    </r>
    <r>
      <rPr>
        <color rgb="FF334155"/>
      </rPr>
      <t xml:space="preserve">
Saves approved test phone 1 (a number the team confirmed is nobody’s real phone) for a new fake user, once written with “+”, spaces, brackets and dashes, and once as “+” plus digits. Reads each back.</t>
    </r>
  </si>
  <si>
    <t>Needs the team-approved test phone numbers in AISLE_TEST_PHONES (never a real person’s number). Without them the test is marked Blocked (CONFIG).</t>
  </si>
  <si>
    <t>POST /api/v1/pii-test {"user_id":"&lt;new fake user&gt;","field":"PHONE","value":"&lt;approved test phone 1, formatted&gt;"} · POST /api/v1/pii-test/read {"field_names":["PHONE"]}</t>
  </si>
  <si>
    <t xml:space="preserve">1. Save approved test phone 1 written as “+NN (NNN) NNN-NNNN” for a new fake user
2. Save it written as “+” and digits for another new fake user
3. Read each phone back</t>
  </si>
  <si>
    <t>Both saves succeed and both reads return the phone as digits only. Seen on staging on 2026-10-01.</t>
  </si>
  <si>
    <t xml:space="preserve">• Both saves succeed
• Both reads return digits only</t>
  </si>
  <si>
    <t>People type phone numbers in many styles. The service must store one clean form, or searches and comparisons fail.</t>
  </si>
  <si>
    <t>AISLE-NRM-003</t>
  </si>
  <si>
    <r>
      <rPr>
        <b/>
        <color rgb="FF0F172A"/>
      </rPr>
      <t>A phone that is too short or too long after clean-up, or has no digits, is rejected (400) and nothing is saved</t>
    </r>
    <r>
      <rPr>
        <color rgb="FF334155"/>
      </rPr>
      <t xml:space="preserve">
Tries to save made-up invalid phone values for new fake users: 5 digits, 7 digits, 16 digits, and only symbols (no digits).</t>
    </r>
  </si>
  <si>
    <t>POST /api/v1/pii-test {"user_id":"&lt;new fake user&gt;","field":"PHONE","value":"12345"} · {"value":"1234567"} · {"value":"1234567890123456"} · {"value":"+-() "}</t>
  </si>
  <si>
    <t xml:space="preserve">1. Send each invalid value as a PHONE save for a new fake user
2. Check each reply
3. Read each user</t>
  </si>
  <si>
    <t>Each save gets 400 VALIDATION_ERROR (the value breaks a rule) with no data, never a server error, and nothing is saved (404 on read). Seen on staging on 2026-10-01. Only made-up values are used, never a number that could be someone’s.</t>
  </si>
  <si>
    <t xml:space="preserve">• Each save is 400 VALIDATION_ERROR with no data
• No server error (5xx)
• Nothing saved (404)</t>
  </si>
  <si>
    <t>A phone that is too short, too long or empty after clean-up can never reach anyone; storing it would be wrong data.</t>
  </si>
  <si>
    <t>Negative</t>
  </si>
  <si>
    <t>AISLE-NRM-004</t>
  </si>
  <si>
    <r>
      <rPr>
        <b/>
        <color rgb="FF0F172A"/>
      </rPr>
      <t>Hidden characters in a name: tab, line break, carriage return and non-breaking space become a normal space; a zero-width space is kept</t>
    </r>
    <r>
      <rPr>
        <color rgb="FF334155"/>
      </rPr>
      <t xml:space="preserve">
Saves five fake names that each hide one invisible character between two words: a tab, a line break, a carriage return, a non-breaking space and a zero-width space. Reads each back.</t>
    </r>
  </si>
  <si>
    <t>POST /api/v1/pii-test {"user_id":"&lt;new fake user&gt;","field":"NAME","value":"QA\tAutomation User &lt;letters&gt;"} (one per hidden character)</t>
  </si>
  <si>
    <t xml:space="preserve">1. Save a fake name with one hidden character between two words
2. Read it back
3. Repeat for each of the five hidden characters</t>
  </si>
  <si>
    <t>Tab, line break, carriage return and non-breaking space are turned into a normal space. The zero-width space is kept unchanged. Seen on 2026-10-01; Dev still to confirm the rule (question BQ-36).</t>
  </si>
  <si>
    <t xml:space="preserve">• Tab, line break, carriage return, non-breaking space → a normal space
• Zero-width space → kept as sent</t>
  </si>
  <si>
    <t>Names copied from documents often carry hidden characters. They decide whether two names look equal and whether searches match.</t>
  </si>
  <si>
    <t>AISLE-SEC-003</t>
  </si>
  <si>
    <r>
      <rPr>
        <b/>
        <color rgb="FF0F172A"/>
      </rPr>
      <t>Test logs and reports never contain the Aisle token; the call log holds no personal data</t>
    </r>
    <r>
      <rPr>
        <color rgb="FF334155"/>
      </rPr>
      <t xml:space="preserve">
Saves and reads a fake name, sends one request that is refused, then scans our call log, report notes and attachments for the token (the secret pass proving the caller is Aisle’s test app), and the call log for the fake name.</t>
    </r>
  </si>
  <si>
    <t>Response Security</t>
  </si>
  <si>
    <t>POST /api/v1/pii-test (fake name) · POST /api/v1/pii-test/read (same user) · POST /api/v1/pii-test without Authorization header</t>
  </si>
  <si>
    <t xml:space="preserve">1. Save and read a fake name
2. Send one save without a token (it is refused with 401)
3. Scan the call log for the token and the fake name
4. Scan the report notes and attachments for the token</t>
  </si>
  <si>
    <t>The token is found nowhere: reports show it only as $AISLE_TEST_TOKEN. The call log (the redacted list of calls) contains no fake name, but still shows request IDs (tracking numbers for each call), so problems can be traced. Report attachments may show the fake name in the exact requests and replies; that is intended.</t>
  </si>
  <si>
    <t xml:space="preserve">• The calls were logged, with request IDs
• Neither the token nor the fake name is in the call log
• The token is not in the report notes or attachments
• The exact request/response attachment is checked for the real token by the report self-check</t>
  </si>
  <si>
    <t>Reports show the exact requests and replies, with the fake test data, so failures can be debugged. The token must never appear anywhere, or anyone reading a report could call the service as Aisle. The short call log is kept free of personal data.</t>
  </si>
  <si>
    <t>Security</t>
  </si>
  <si>
    <t>AISLE-WR-001</t>
  </si>
  <si>
    <r>
      <rPr>
        <b/>
        <color rgb="FF0F172A"/>
      </rPr>
      <t>Saving a name for a brand-new fake user returns 201 with the saved field details</t>
    </r>
    <r>
      <rPr>
        <color rgb="FF334155"/>
      </rPr>
      <t xml:space="preserve">
Saves a fake name (the NAME field) for a brand-new fake test user through the Aisle facade (Aisle’s front door to the PII service).</t>
    </r>
  </si>
  <si>
    <t>PII Write</t>
  </si>
  <si>
    <t>POST /api/v1/pii-test {"user_id":"&lt;new fake user&gt;","field":"NAME","value":"QA Automation User &lt;letters&gt;"}</t>
  </si>
  <si>
    <t xml:space="preserve">1. Make a new fake user ID and a fake name
2. Send the save request with the token (the secret pass proving the caller is Aisle’s test app)
3. Check the reply</t>
  </si>
  <si>
    <t>201 Created (a new value was saved). The reply shows the same user ID, field NAME and a key version (the number of the encryption key used) of 1 or more. The name itself is not repeated in the reply.</t>
  </si>
  <si>
    <t xml:space="preserve">• Status is 201
• Reply data has the same user ID and field NAME
• Key version is 1 or more
• The fake name is not repeated in the reply</t>
  </si>
  <si>
    <t>Saving personal data is the core job of the service. If new users cannot be saved, nothing else works.</t>
  </si>
  <si>
    <t>AISLE-WR-002</t>
  </si>
  <si>
    <r>
      <rPr>
        <b/>
        <color rgb="FF0F172A"/>
      </rPr>
      <t>Full name lifecycle: save, read, replace (200), read the new name, bulk read the new name</t>
    </r>
    <r>
      <rPr>
        <color rgb="FF334155"/>
      </rPr>
      <t xml:space="preserve">
Runs the full life of a saved name for one fake test user: save name A, read it, replace it with name B, read again, then bulk read (one request for several users).</t>
    </r>
  </si>
  <si>
    <t>POST /api/v1/pii-test {"user_id":"&lt;new fake user&gt;","field":"NAME","value":"QA Automation User A"} · POST /api/v1/pii-test/read {"user_id":"&lt;same user&gt;","field_names":["NAME"]} · POST /api/v1/pii-test {… "value":"QA Automation User B"} · POST /api/v1/pii-test/read (again) · POST /api/v1/pii-test/batch/read {"user_ids":["&lt;same user&gt;"],"fields":["NAME"]}</t>
  </si>
  <si>
    <t xml:space="preserve">1. Save fake name A for a new fake user and read it back
2. Save fake name B for the same user
3. Read the name again
4. Bulk read the name for that user</t>
  </si>
  <si>
    <t>The first read returns name A. The second save returns 200 OK (an existing value was replaced). The second read and the bulk read both return name B, never name A.</t>
  </si>
  <si>
    <t xml:space="preserve">• First read returns name A
• Replace returns 200
• Second read returns name B
• Bulk read returns exactly one item for that user with name B</t>
  </si>
  <si>
    <t>If the old value survived an update, users would see outdated or wrong personal details.</t>
  </si>
  <si>
    <t>AISLE-WR-003</t>
  </si>
  <si>
    <r>
      <rPr>
        <b/>
        <color rgb="FF0F172A"/>
      </rPr>
      <t>Save requests with a number instead of text for the value or the user ID are rejected (422) and the saved name stays the same</t>
    </r>
    <r>
      <rPr>
        <color rgb="FF334155"/>
      </rPr>
      <t xml:space="preserve">
Saves a fake name, then sends two saves that use a number where text is expected: once as the value and once as the user ID.</t>
    </r>
  </si>
  <si>
    <t>POST /api/v1/pii-test {"user_id":"&lt;fake user&gt;","field":"NAME","value":12345} · {"user_id":12345,"field":"NAME","value":"QA Automation User"}</t>
  </si>
  <si>
    <t xml:space="preserve">1. Save a fake name for a new fake user
2. Send a save with the number 12345 as the value
3. Send a save with the number 12345 as the user ID
4. Read the name back</t>
  </si>
  <si>
    <t>Each broken request gets 422 (refused: the request format is invalid) with a list naming the wrong part (“must be text”). Reading afterwards still returns the original fake name. (Requests that leave a part out are not tested: the facade rebuilds the body, so that result cannot be attributed to the PII service.)</t>
  </si>
  <si>
    <t xml:space="preserve">• Number as value → 422 naming value
• Number as user ID → 422 naming user_id
• The saved name is unchanged afterwards</t>
  </si>
  <si>
    <t>A bug in the app must never overwrite or damage a user’s saved data.</t>
  </si>
  <si>
    <t>AISLE-WR-004</t>
  </si>
  <si>
    <r>
      <rPr>
        <b/>
        <color rgb="FF0F172A"/>
      </rPr>
      <t>Saving an empty value is rejected (422)</t>
    </r>
    <r>
      <rPr>
        <color rgb="FF334155"/>
      </rPr>
      <t xml:space="preserve">
Saves a fake name, then sends a save request whose value is empty text.</t>
    </r>
  </si>
  <si>
    <t>POST /api/v1/pii-test {"user_id":"&lt;fake user&gt;","field":"NAME","value":""}</t>
  </si>
  <si>
    <t xml:space="preserve">1. Save a fake name for a new fake user
2. Send a save with an empty value
3. Read the name back</t>
  </si>
  <si>
    <t>422 (refused: the request format is invalid) naming the value as too short (the minimum is 1 character). The original fake name is unchanged. Limit observed from the service’s own validation message (2026-09-29).</t>
  </si>
  <si>
    <t xml:space="preserve">• Status is 422 in the FastAPI “detail” list format
• The problem is reported at value
• The saved name is unchanged afterwards</t>
  </si>
  <si>
    <t>An empty value would wipe a user’s details without anyone meaning to.</t>
  </si>
  <si>
    <t>AISLE-WR-005</t>
  </si>
  <si>
    <r>
      <rPr>
        <b/>
        <color rgb="FF0F172A"/>
      </rPr>
      <t>Values exactly at the maximum length are accepted (user ID 128 characters, name 1,024 characters)</t>
    </r>
    <r>
      <rPr>
        <color rgb="FF334155"/>
      </rPr>
      <t xml:space="preserve">
Saves a fake name of exactly 1,024 characters for a fake user ID of exactly 128 characters, then reads it back.</t>
    </r>
  </si>
  <si>
    <t>POST /api/v1/pii-test {"user_id":"&lt;128-character fake user&gt;","field":"NAME","value":"&lt;1,024-character fake name&gt;"} · POST /api/v1/pii-test/read {"user_id":"&lt;same user&gt;","field_names":["NAME"]}</t>
  </si>
  <si>
    <t xml:space="preserve">1. Make a 128-character fake user ID and a 1,024-character fake name
2. Save the name
3. Read it back</t>
  </si>
  <si>
    <t>201 Created (a new value was saved). Reading returns the full 1,024-character name unchanged. Limit observed from the service’s own validation message (2026-09-29).</t>
  </si>
  <si>
    <t xml:space="preserve">• The generated user ID is exactly 128 characters and the name exactly 1,024
• Save status is 201
• Reading returns the full name unchanged</t>
  </si>
  <si>
    <t>Real users can have long names. The service must accept everything up to the allowed maximum.</t>
  </si>
  <si>
    <t>AISLE-WR-006</t>
  </si>
  <si>
    <r>
      <rPr>
        <b/>
        <color rgb="FF0F172A"/>
      </rPr>
      <t>Values one character over the maximum are rejected (422) and nothing changes</t>
    </r>
    <r>
      <rPr>
        <color rgb="FF334155"/>
      </rPr>
      <t xml:space="preserve">
Saves a normal fake name, then sends a save with a 129-character user ID and another with a 1,025-character name for the first user.</t>
    </r>
  </si>
  <si>
    <t>POST /api/v1/pii-test {"user_id":"&lt;129-character fake user&gt;","field":"NAME","value":"QA Automation User"} · POST /api/v1/pii-test {"user_id":"&lt;fake user&gt;","field":"NAME","value":"&lt;1,025-character fake name&gt;"}</t>
  </si>
  <si>
    <t xml:space="preserve">1. Save a normal fake name for a new fake user
2. Send a save with a 129-character fake user ID
3. Send a save with a 1,025-character name for the first user
4. Read the first user’s name</t>
  </si>
  <si>
    <t>Both saves get 422 (refused: the request format is invalid), naming the user ID and the value as too long. The first user’s name is unchanged. Limit observed from the service’s own validation message (2026-09-29).</t>
  </si>
  <si>
    <t xml:space="preserve">• 129-character user ID → 422 naming user_id
• 1,025-character name → 422 naming value
• The first user’s saved name is unchanged</t>
  </si>
  <si>
    <t>Over-long data could break storage or other systems that read it.</t>
  </si>
  <si>
    <t>AISLE-WR-008</t>
  </si>
  <si>
    <r>
      <rPr>
        <b/>
        <color rgb="FF0F172A"/>
      </rPr>
      <t>Saving an unknown field name is refused (403 AUTHORIZATION_DENIED)</t>
    </r>
    <r>
      <rPr>
        <color rgb="FF334155"/>
      </rPr>
      <t xml:space="preserve">
Tries to save a fake value under a field name the service does not know (a made-up field name).</t>
    </r>
  </si>
  <si>
    <t>POST /api/v1/pii-test {"user_id":"&lt;fake user&gt;","field":"QA_AUTOMATION_UNKNOWN_FIELD","value":"QA Automation User"}</t>
  </si>
  <si>
    <t xml:space="preserve">1. Send a save with a made-up field name and a fake value
2. Check the reply</t>
  </si>
  <si>
    <t>403 Forbidden (refused: access denied) with the error code AUTHORIZATION_DENIED, as seen on staging (2026-09-29).</t>
  </si>
  <si>
    <t xml:space="preserve">• Status is 403
• Error code is AUTHORIZATION_DENIED
• Reply data is empty</t>
  </si>
  <si>
    <t>Only agreed personal fields may be stored. Unknown fields would be data kept outside the rules.</t>
  </si>
  <si>
    <t>AISLE-WR-009</t>
  </si>
  <si>
    <r>
      <rPr>
        <b/>
        <color rgb="FF0F172A"/>
      </rPr>
      <t>An email without “@” is rejected and nothing is saved</t>
    </r>
    <r>
      <rPr>
        <color rgb="FF334155"/>
      </rPr>
      <t xml:space="preserve">
Tries to save a fake email that has no “@” in it, then checks nothing was saved.</t>
    </r>
  </si>
  <si>
    <t>Needs EMAIL access for the Aisle caller (granted on 2026-10-01). If it is refused with 403 (access denied), the test is marked Blocked and the report shows that real reply.</t>
  </si>
  <si>
    <t>POST /api/v1/pii-test {"user_id":"&lt;new fake user&gt;","field":"EMAIL","value":"&lt;fake name&gt;.at.example.test"} · POST /api/v1/pii-test/read {"user_id":"&lt;same user&gt;","field_names":["EMAIL"]}</t>
  </si>
  <si>
    <t xml:space="preserve">1. Send a save for the EMAIL field with a fake value that has no “@”
2. Check the reply
3. Read EMAIL for that user</t>
  </si>
  <si>
    <t>The save is refused (400 VALIDATION_ERROR was seen on 2026-10-01; 422 is also accepted) and never answered with a server error (5xx). Reading EMAIL returns 404 (not found): nothing was saved.</t>
  </si>
  <si>
    <t xml:space="preserve">• Save status is 400 or 422
• Reading EMAIL afterwards returns 404 PII_NOT_FOUND</t>
  </si>
  <si>
    <t>Broken emails would make password resets and notifications fail without anyone noticing.</t>
  </si>
  <si>
    <t>AISLE-WR-010</t>
  </si>
  <si>
    <r>
      <rPr>
        <b/>
        <color rgb="FF0F172A"/>
      </rPr>
      <t>Saving a fake email and reading it back returns it cleaned up</t>
    </r>
    <r>
      <rPr>
        <color rgb="FF334155"/>
      </rPr>
      <t xml:space="preserve">
Saves a messy fake email (capitals and spaces around it) for a new fake test user, then reads the EMAIL field back.</t>
    </r>
  </si>
  <si>
    <t>POST /api/v1/pii-test {"user_id":"&lt;new fake user&gt;","field":"EMAIL","value":"  QA.Auto.&lt;run&gt;@EXAMPLE.TEST  "} · POST /api/v1/pii-test/read {"user_id":"&lt;same user&gt;","field_names":["EMAIL"]}</t>
  </si>
  <si>
    <t xml:space="preserve">1. Save a messy fake email for a new fake user
2. Send a read request for that user asking for EMAIL
3. Compare the returned value with the expected clean form</t>
  </si>
  <si>
    <t>200 OK. Exactly one item for that user and field EMAIL. The value is the fake email in lower case with the outer spaces removed. Seen on staging on 2026-10-01.</t>
  </si>
  <si>
    <t xml:space="preserve">• Save and read are not refused (today they are: 403, so the test is blocked)
• Read status is 200 and count 1
• The item has the same user ID and field EMAIL
• The value is the fake email in lower case with outer spaces removed</t>
  </si>
  <si>
    <t>Aisle compares and shows emails. If they are not cleaned up the same way every time, logins and look-ups can fail.</t>
  </si>
  <si>
    <t>AISLE-WR-011</t>
  </si>
  <si>
    <r>
      <rPr>
        <b/>
        <color rgb="FF0F172A"/>
      </rPr>
      <t>A value made only of spaces, tabs or line breaks is rejected (422) for NAME and EMAIL, and nothing is saved</t>
    </r>
    <r>
      <rPr>
        <color rgb="FF334155"/>
      </rPr>
      <t xml:space="preserve">
Tries to save a value made only of spaces (and once of spaces, a tab and a line break) for a fake user’s NAME, and only spaces for a fake user’s EMAIL.</t>
    </r>
  </si>
  <si>
    <t>POST /api/v1/pii-test {"user_id":"&lt;new fake user&gt;","field":"NAME","value":"   "} · {… "value":" \t\n "} · {… "field":"EMAIL","value":"   "}</t>
  </si>
  <si>
    <t xml:space="preserve">1. Send a save of “   ” as NAME for a new fake user
2. Send a save of spaces, a tab and a line break as NAME
3. Send a save of “   ” as EMAIL
4. Read each fake user to check nothing was saved</t>
  </si>
  <si>
    <t>Each save gets 422 Unprocessable Entity (refused: the request format is invalid) naming the value as too short. Reading the users afterwards gets 404 Not Found (nothing was saved). Seen on staging on 2026-10-01.</t>
  </si>
  <si>
    <t xml:space="preserve">• Every save is 422, naming body.value
• No reply is a server error (5xx)
• Every user still has nothing saved (404)</t>
  </si>
  <si>
    <t>A blank value is not real data. Saving it would replace a real name or email with nothing.</t>
  </si>
  <si>
    <t>AISLE-WR-012</t>
  </si>
  <si>
    <r>
      <rPr>
        <b/>
        <color rgb="FF0F172A"/>
      </rPr>
      <t>User IDs are matched exactly after trimming: spaces around the ID are ignored, but capitals or one extra letter mean a different user</t>
    </r>
    <r>
      <rPr>
        <color rgb="FF334155"/>
      </rPr>
      <t xml:space="preserve">
Saves a fake name for a fake user, then reads it with spaces around the user ID, with the user ID in capitals, and with one extra letter. Also saves a name with spaces around a new user ID.</t>
    </r>
  </si>
  <si>
    <t>POST /api/v1/pii-test/read {"user_id":" &lt;fake user&gt; ","field_names":["NAME"]} · {"user_id":"&lt;FAKE USER&gt;"} · {"user_id":"&lt;fake user&gt;x"} · POST /api/v1/pii-test {"user_id":" &lt;new fake user&gt; ",…}</t>
  </si>
  <si>
    <t xml:space="preserve">1. Save a fake name for a new fake user
2. Read it with spaces around the user ID
3. Read with the user ID in capitals, and with one extra letter
4. Save a name with spaces around another new user ID and read it with the plain ID</t>
  </si>
  <si>
    <t>Spaces around the ID are ignored: the read returns the name (200 OK) and the reply shows the ID without spaces; a save with spaces is stored under the trimmed ID. The ID in capitals and the ID with an extra letter are different, empty users: 404 Not Found. Seen on 2026-10-01; Dev still to confirm this rule (question BQ-34).</t>
  </si>
  <si>
    <t xml:space="preserve">• Read with spaces: 200, trimmed user ID, the same name
• Capitals and extra letter: 404 PII_NOT_FOUND
• Save with spaces: 201 under the trimmed user ID</t>
  </si>
  <si>
    <t>The user ID decides whose data is returned. If similar-looking IDs matched the same person, one user could see another user’s data. Note: it is not confirmed whether the PII service or the facade trims the user ID (question BQ-34).</t>
  </si>
  <si>
    <t>AISLE-WR-013</t>
  </si>
  <si>
    <r>
      <rPr>
        <b/>
        <color rgb="FF0F172A"/>
      </rPr>
      <t>Attack-looking text in a name or a user ID is never run as code: it is stored and read back exactly</t>
    </r>
    <r>
      <rPr>
        <color rgb="FF334155"/>
      </rPr>
      <t xml:space="preserve">
Saves fake names that look like attacks (a &lt;script&gt; tag, a database query trick) and fake user IDs that contain SQL, script, database-query and folder-path tricks, then reads each one back.</t>
    </r>
  </si>
  <si>
    <t>POST /api/v1/pii-test {"user_id":"&lt;new fake user&gt;","field":"NAME","value":"QA &lt;script&gt;alert(1)&lt;/script&gt;"} · {"user_id":"&lt;fake user&gt;' OR '1'='1",…}</t>
  </si>
  <si>
    <t xml:space="preserve">1. Save each attack-looking name for a new fake user and read it back
2. Save a fake name under each attack-looking user ID and read it back
3. Compare what was read with what was sent</t>
  </si>
  <si>
    <t>Every save is 201 Created and every read returns exactly what was sent; the user IDs are stored exactly as sent. Seen on 2026-10-01. Names containing SQL-like or folder-path-like text cannot be tested: the edge firewall (a filter in front of the facade) refuses them with 403 before they reach the PII service (question BQ-35).</t>
  </si>
  <si>
    <t xml:space="preserve">• Each save is 201
• Each read returns the exact text that was sent
• The reply shows the attack-looking user ID unchanged</t>
  </si>
  <si>
    <t>If such text were run as code instead of stored as text, an attacker could steal or destroy data (an “injection” attack).</t>
  </si>
  <si>
    <t>AISLE-WR-014</t>
  </si>
  <si>
    <r>
      <rPr>
        <b/>
        <color rgb="FF0F172A"/>
      </rPr>
      <t>Names with accents, Chinese characters, emoji and right-to-left script are stored and read back exactly</t>
    </r>
    <r>
      <rPr>
        <color rgb="FF334155"/>
      </rPr>
      <t xml:space="preserve">
Saves five fake names written with accents (Ünïcödé), Chinese characters, emoji, Arabic (written right to left) and Nordic letters, and reads each back.</t>
    </r>
  </si>
  <si>
    <t>POST /api/v1/pii-test {"user_id":"&lt;new fake user&gt;","field":"NAME","value":"QA 测试用户"} (and the other four)</t>
  </si>
  <si>
    <t xml:space="preserve">1. Save each fake name for a new fake user
2. Read each one back
3. Compare with what was sent</t>
  </si>
  <si>
    <t>Every save is 201 Created and every read returns exactly the same characters. Seen on 2026-10-01.</t>
  </si>
  <si>
    <t xml:space="preserve">• Each save is 201
• Each read returns the identical name</t>
  </si>
  <si>
    <t>Real people’s names use every alphabet. A service that damages such characters stores wrong personal data.</t>
  </si>
  <si>
    <t>AISLE-WR-015</t>
  </si>
  <si>
    <r>
      <rPr>
        <b/>
        <color rgb="FF0F172A"/>
      </rPr>
      <t>A name of exactly 1,024 Chinese characters or 1,024 emoji is accepted: the limit counts characters, not bytes</t>
    </r>
    <r>
      <rPr>
        <color rgb="FF334155"/>
      </rPr>
      <t xml:space="preserve">
Saves a fake name of exactly 1,024 Chinese characters, and one of exactly 1,024 emoji, and reads both back.</t>
    </r>
  </si>
  <si>
    <t>POST /api/v1/pii-test {"user_id":"&lt;new fake user&gt;","field":"NAME","value":"测测…(1,024)"}</t>
  </si>
  <si>
    <t xml:space="preserve">1. Save 1,024 Chinese characters as a NAME
2. Save 1,024 emoji as a NAME
3. Read both back</t>
  </si>
  <si>
    <t>Both saves are 201 Created and the reads return the full text: the 1,024 limit counts characters, not bytes. Seen on 2026-10-01.</t>
  </si>
  <si>
    <t xml:space="preserve">• Both saves are 201
• Both reads return the full 1,024 characters</t>
  </si>
  <si>
    <t>These characters take 3–4 bytes each. If the limit counted bytes instead of characters, real long names in such alphabets would be refused.</t>
  </si>
  <si>
    <t>AISLE-WR-016</t>
  </si>
  <si>
    <r>
      <rPr>
        <b/>
        <color rgb="FF0F172A"/>
      </rPr>
      <t>A name of 1,025 Chinese characters or 1,025 emoji is rejected (422) and nothing is saved</t>
    </r>
    <r>
      <rPr>
        <color rgb="FF334155"/>
      </rPr>
      <t xml:space="preserve">
Tries to save a fake name of 1,025 Chinese characters, and one of 1,025 emoji (one over the limit).</t>
    </r>
  </si>
  <si>
    <t>POST /api/v1/pii-test {"user_id":"&lt;new fake user&gt;","field":"NAME","value":"测测…(1,025)"}</t>
  </si>
  <si>
    <t xml:space="preserve">1. Send each 1,025-character name for a new fake user
2. Check the replies
3. Read the users</t>
  </si>
  <si>
    <t>422 Unprocessable Entity (refused: the request format is invalid) naming the value as too long, and nothing saved (404 on read). Seen on 2026-10-01.</t>
  </si>
  <si>
    <t xml:space="preserve">• Both saves are 422 naming body.value
• No server error (5xx)
• Nothing saved (404)</t>
  </si>
  <si>
    <t>The 1,024-character limit must hold for every alphabet, so oversized data cannot slip in.</t>
  </si>
  <si>
    <t>AISLE-WR-017</t>
  </si>
  <si>
    <r>
      <rPr>
        <b/>
        <color rgb="FF0F172A"/>
      </rPr>
      <t>A save with null instead of the value, the user ID or the field name is rejected (422) naming that part</t>
    </r>
    <r>
      <rPr>
        <color rgb="FF334155"/>
      </rPr>
      <t xml:space="preserve">
Sends three saves for a fake user where the value, the user ID or the field name is null (empty) instead of text.</t>
    </r>
  </si>
  <si>
    <t>POST /api/v1/pii-test {"user_id":"&lt;fake user&gt;","field":"NAME","value":null} · {"user_id":null,…} · {"field":null,…}</t>
  </si>
  <si>
    <t xml:space="preserve">1. Send a save with value null
2. Send a save with user ID null
3. Send a save with field null
4. Read the fake user</t>
  </si>
  <si>
    <t>Each save gets 422 Unprocessable Entity (refused: the request format is invalid) naming the null part (“must be text”). Nothing is saved (404 on read). Seen on 2026-10-01.</t>
  </si>
  <si>
    <t xml:space="preserve">• Each is 422 naming value, user_id or field
• No server error (5xx)
• Nothing saved (404)</t>
  </si>
  <si>
    <t>A null must never be stored as a value or attached to an unknown user.</t>
  </si>
  <si>
    <t>AISLE-WR-020</t>
  </si>
  <si>
    <r>
      <rPr>
        <b/>
        <color rgb="FF0F172A"/>
      </rPr>
      <t>Saving exactly the same value again succeeds (200) and the key version stays 1, also after a real replace</t>
    </r>
    <r>
      <rPr>
        <color rgb="FF334155"/>
      </rPr>
      <t xml:space="preserve">
Saves a fake name, saves exactly the same name again, then replaces it with a different fake name, checking the key version (the number of the encryption key used) each time.</t>
    </r>
  </si>
  <si>
    <t>POST /api/v1/pii-test {"user_id":"&lt;new fake user&gt;","field":"NAME","value":"QA Automation User A"} (twice) · {… "value":"QA Automation User B"}</t>
  </si>
  <si>
    <t xml:space="preserve">1. Save a fake name (first save)
2. Save the same name again
3. Save a different name
4. Check each reply</t>
  </si>
  <si>
    <t>First save 201 Created; the same value again is 200 OK; the replace is 200 OK. The key version is 1 every time. Seen on 2026-10-01; what the key version means is still open (question BQ-29).</t>
  </si>
  <si>
    <t xml:space="preserve">• First save key version 1
• Repeat save 200 with key version 1
• Replace 200 with key version 1</t>
  </si>
  <si>
    <t>Repeating a save (for example after a network retry) must be harmless, and the key version must be predictable.</t>
  </si>
  <si>
    <t>AISLE-WR-021</t>
  </si>
  <si>
    <r>
      <rPr>
        <b/>
        <color rgb="FF0F172A"/>
      </rPr>
      <t>Five saves sent at the same moment for one user all succeed and leave exactly one of the five names</t>
    </r>
    <r>
      <rPr>
        <color rgb="FF334155"/>
      </rPr>
      <t xml:space="preserve">
Sends five saves with five different fake names for the same fake user at the same moment, then reads the name.</t>
    </r>
  </si>
  <si>
    <t>POST /api/v1/pii-test ×5 in parallel {"user_id":"&lt;same fake user&gt;","field":"NAME","value":"QA Automation User &lt;A…E&gt;"}</t>
  </si>
  <si>
    <t xml:space="preserve">1. Send five saves for one fake user at the same time
2. Check every reply
3. Read the name</t>
  </si>
  <si>
    <t>Every save succeeds (201 Created or 200 OK). The read returns exactly one name, and it is one of the five sent. Seen on 2026-10-01 (one 201 and four 200).</t>
  </si>
  <si>
    <t xml:space="preserve">• All five saves are 201 or 200
• Exactly one stored name
• It is one of the five names sent</t>
  </si>
  <si>
    <t>Two apps may update the same person at once. The data must end up in one clean state, never mixed or duplicated.</t>
  </si>
  <si>
    <t>AISLE-WR-022</t>
  </si>
  <si>
    <r>
      <rPr>
        <b/>
        <color rgb="FF0F172A"/>
      </rPr>
      <t>Email lifecycle: save a fake email (201), replace it (200), read back the new email</t>
    </r>
    <r>
      <rPr>
        <color rgb="FF334155"/>
      </rPr>
      <t xml:space="preserve">
Saves a fake email for a new fake user, replaces it with a second fake email, then reads the email.</t>
    </r>
  </si>
  <si>
    <t>POST /api/v1/pii-test {"user_id":"&lt;new fake user&gt;","field":"EMAIL","value":"&lt;fake email A&gt;@example.test"} · {… "value":"&lt;fake email B&gt;"} · POST /api/v1/pii-test/read {"field_names":["EMAIL"]}</t>
  </si>
  <si>
    <t xml:space="preserve">1. Save fake email A
2. Save fake email B for the same user
3. Read the email</t>
  </si>
  <si>
    <t>The first save is 201 Created, the replace is 200 OK. The read returns email B. Seen on 2026-10-01.</t>
  </si>
  <si>
    <t xml:space="preserve">• First save 201
• Replace 200
• Read returns email B</t>
  </si>
  <si>
    <t>If an old email survived an update, messages could go to an address the person no longer uses.</t>
  </si>
  <si>
    <t>AISLE-WR-023</t>
  </si>
  <si>
    <r>
      <rPr>
        <b/>
        <color rgb="FF0F172A"/>
      </rPr>
      <t>Valid but unusual emails (a “+tag” and a sub-domain) are accepted and read back unchanged</t>
    </r>
    <r>
      <rPr>
        <color rgb="FF334155"/>
      </rPr>
      <t xml:space="preserve">
Saves two valid but unusual fake emails: one with a “+tag” in the name part and one on a sub-domain (mail.example.test).</t>
    </r>
  </si>
  <si>
    <t>POST /api/v1/pii-test {"user_id":"&lt;new fake user&gt;","field":"EMAIL","value":"&lt;name&gt;+tag@example.test"} · {… "value":"&lt;name&gt;.sub@mail.example.test"}</t>
  </si>
  <si>
    <t xml:space="preserve">1. Save the “+tag” email for a new fake user
2. Save the sub-domain email for another
3. Read both back</t>
  </si>
  <si>
    <t>Both saves are 201 Created and both reads return the email unchanged. Seen on 2026-10-01.</t>
  </si>
  <si>
    <t xml:space="preserve">• Both saves are 201
• Both reads return the exact email</t>
  </si>
  <si>
    <t>Many real people use such addresses. Refusing or changing them would lose real contact data.</t>
  </si>
  <si>
    <t>AISLE-WR-024</t>
  </si>
  <si>
    <r>
      <rPr>
        <b/>
        <color rgb="FF0F172A"/>
      </rPr>
      <t>Badly formed emails (two “@”, no domain, no name part, a space inside, a trailing dot) are rejected and nothing is saved</t>
    </r>
    <r>
      <rPr>
        <color rgb="FF334155"/>
      </rPr>
      <t xml:space="preserve">
Tries to save five badly formed fake emails: two “@” signs, nothing after “@”, nothing before “@”, a space inside, and a dot at the end.</t>
    </r>
  </si>
  <si>
    <t>Blocked until Dev defines which email formats are invalid (question BQ-37).</t>
  </si>
  <si>
    <t>POST /api/v1/pii-test {"user_id":"&lt;new fake user&gt;","field":"EMAIL","value":"&lt;name&gt;@x@example.test"} (and the other four)</t>
  </si>
  <si>
    <t xml:space="preserve">1. Send each badly formed email as a save for a new fake user
2. Check each reply
3. Read each user</t>
  </si>
  <si>
    <t>Each save is refused with 400 VALIDATION_ERROR (like an email without “@”) and nothing is saved. Blocked: on 2026-10-01 all five were saved (201); the email rules must be defined by Dev first (question BQ-37).</t>
  </si>
  <si>
    <t xml:space="preserve">• Each save is 400 VALIDATION_ERROR
• Nothing saved (404)</t>
  </si>
  <si>
    <t>Storing broken emails means messages can never reach the person, and searches stop matching.</t>
  </si>
  <si>
    <t>BQ-37: EMAIL format rules not defined: on 2026-10-01 all these badly formed emails were saved (201); only a missing "@" is refused | BLOCKED (BQ-37): EMAIL format rules not defined: on 2026-10-01 all these badly formed emails were saved (201); only a missing "@" is refused</t>
  </si>
  <si>
    <t>BLOCKED — BQ-37: EMAIL format rules not defined: on 2026-10-01 all these badly formed emails were saved (201); only a missing "@" is refused</t>
  </si>
  <si>
    <t>AISLE-WR-025</t>
  </si>
  <si>
    <r>
      <rPr>
        <b/>
        <color rgb="FF0F172A"/>
      </rPr>
      <t>Long emails of 254, 255 and 1,024 characters are accepted: EMAIL uses the general 1,024-character limit</t>
    </r>
    <r>
      <rPr>
        <color rgb="FF334155"/>
      </rPr>
      <t xml:space="preserve">
Saves fake emails of exactly 254, 255 and 1,024 characters (the domain part is padded with letters).</t>
    </r>
  </si>
  <si>
    <t>POST /api/v1/pii-test {"user_id":"&lt;new fake user&gt;","field":"EMAIL","value":"&lt;name&gt;@ddd…d.example.test"} (254 / 255 / 1,024 characters)</t>
  </si>
  <si>
    <t xml:space="preserve">1. Build fake emails of 254, 255 and 1,024 characters
2. Save each for a new fake user
3. Check the replies</t>
  </si>
  <si>
    <t>All three are 201 Created: EMAIL uses the general 1,024-character limit, not 254. Seen on 2026-10-01; Dev still to confirm (question BQ-37).</t>
  </si>
  <si>
    <t>• All three saves are 201</t>
  </si>
  <si>
    <t>Internet standards cap emails at 254 characters. QA records which limit the service really uses.</t>
  </si>
  <si>
    <t>Low</t>
  </si>
  <si>
    <t>AISLE-WR-026</t>
  </si>
  <si>
    <r>
      <rPr>
        <b/>
        <color rgb="FF0F172A"/>
      </rPr>
      <t>An email of 1,025 characters is rejected (422) and nothing is saved</t>
    </r>
    <r>
      <rPr>
        <color rgb="FF334155"/>
      </rPr>
      <t xml:space="preserve">
Tries to save a fake email of 1,025 characters (one over the general limit).</t>
    </r>
  </si>
  <si>
    <t>POST /api/v1/pii-test {"user_id":"&lt;new fake user&gt;","field":"EMAIL","value":"&lt;1,025-character fake email&gt;"}</t>
  </si>
  <si>
    <t xml:space="preserve">1. Build a 1,025-character fake email
2. Save it for a new fake user
3. Read the user</t>
  </si>
  <si>
    <t>422 Unprocessable Entity (refused: the request format is invalid) naming the value as too long; nothing saved (404). Seen on 2026-10-01.</t>
  </si>
  <si>
    <t xml:space="preserve">• Status is 422 naming body.value
• No server error (5xx)
• Nothing saved (404)</t>
  </si>
  <si>
    <t>The size limit protects storage; an over-long email must not get in.</t>
  </si>
  <si>
    <t>AISLE-WR-027</t>
  </si>
  <si>
    <r>
      <rPr>
        <b/>
        <color rgb="FF0F172A"/>
      </rPr>
      <t>Adding an email to a user who already has a name is a new save (201), and the name is kept</t>
    </r>
    <r>
      <rPr>
        <color rgb="FF334155"/>
      </rPr>
      <t xml:space="preserve">
Saves a fake name for a new fake user, then saves that user’s first fake email.</t>
    </r>
  </si>
  <si>
    <t>POST /api/v1/pii-test {"user_id":"&lt;new fake user&gt;","field":"NAME",…} · {"user_id":"&lt;same user&gt;","field":"EMAIL","value":"&lt;fake email&gt;"}</t>
  </si>
  <si>
    <t xml:space="preserve">1. Save a fake name
2. Save a fake email for the same user
3. Read the name</t>
  </si>
  <si>
    <t>The email save is 201 Created (a new value), and the name is unchanged. Seen on 2026-10-01.</t>
  </si>
  <si>
    <t xml:space="preserve">• Email save is 201
• The name is still the same</t>
  </si>
  <si>
    <t>Adding a second kind of data must create it (not count as a replace) and must not touch the existing name.</t>
  </si>
  <si>
    <t>AISLE-WR-029</t>
  </si>
  <si>
    <r>
      <rPr>
        <b/>
        <color rgb="FF0F172A"/>
      </rPr>
      <t>Ten saves for ten different fake users sent at the same moment all succeed (201) and each user gets their own name</t>
    </r>
    <r>
      <rPr>
        <color rgb="FF334155"/>
      </rPr>
      <t xml:space="preserve">
Sends ten saves for ten different fake users at the same moment, then bulk reads all ten names.</t>
    </r>
  </si>
  <si>
    <t>POST /api/v1/pii-test ×10 in parallel {"user_id":"&lt;fake user N&gt;","field":"NAME","value":"QA Automation User &lt;N&gt;"}</t>
  </si>
  <si>
    <t xml:space="preserve">1. Make ten fake users and names
2. Send all ten saves at the same time
3. Bulk read the ten names</t>
  </si>
  <si>
    <t>All ten saves are 201 Created, and the bulk read returns each user’s own name (count 10). Seen on 2026-10-01.</t>
  </si>
  <si>
    <t xml:space="preserve">• All ten saves are 201
• Bulk read count is 10
• Each user has their own name</t>
  </si>
  <si>
    <t>Many users are saved at once in real use. Parallel saves must not fail or mix up whose data is whose.</t>
  </si>
  <si>
    <t>POC-001</t>
  </si>
  <si>
    <r>
      <rPr>
        <b/>
        <color rgb="FF0F172A"/>
      </rPr>
      <t>Saving a fake name through Aisle returns 201 and confirms the saved field</t>
    </r>
    <r>
      <rPr>
        <color rgb="FF334155"/>
      </rPr>
      <t xml:space="preserve">
Saves a fake name (the NAME field) for a brand-new fake test user through the Aisle facade (Aisle’s front door to the PII service).</t>
    </r>
  </si>
  <si>
    <t>End-to-end POC</t>
  </si>
  <si>
    <t xml:space="preserve">1. Make a new fake user ID and a fake name for this run
2. Send the save request for the NAME field with the token (the secret pass proving the caller is Aisle’s test app)
3. Check the reply</t>
  </si>
  <si>
    <t>201 Created (a new value was saved). The reply names the same user ID, the field NAME and a key version (the number of the encryption key used) of 1 or more. The name itself is not repeated in the reply.</t>
  </si>
  <si>
    <t xml:space="preserve">• Status is 201
• Reply data has the same user ID and field NAME
• Key version is a whole number of 1 or more
• The fake name does not appear anywhere in the reply</t>
  </si>
  <si>
    <t>NAME is the field Aisle can store today. If saving fails or the name is attached to the wrong user, profile features break.</t>
  </si>
  <si>
    <t>POC-003</t>
  </si>
  <si>
    <r>
      <rPr>
        <b/>
        <color rgb="FF0F172A"/>
      </rPr>
      <t>The saved fake name is in the database for the right user, and its readable text is not there</t>
    </r>
    <r>
      <rPr>
        <color rgb="FF334155"/>
      </rPr>
      <t xml:space="preserve">
Saves a messy fake name, then looks up the stored record with an approved read-only database query (it can only look, never change anything).</t>
    </r>
  </si>
  <si>
    <t>Blocked until QA gets read-only database access and the table layout (question BQ-04).</t>
  </si>
  <si>
    <t>POST /api/v1/pii-test {"user_id":"&lt;new fake user&gt;","field":"NAME","value":"   QA   Automation   User &lt;letters&gt;  "} · read-only database query “findPiiRecords” (tenant, user, NAME)</t>
  </si>
  <si>
    <t xml:space="preserve">1. Save a messy fake name for a new fake user
2. Run the read-only query for that user and the NAME field
3. Check the user, field, tenant (the customer account) and key version (the number of the encryption key used)
4. Search the stored value for the name as plain text, hex and Base64 (common ways to write text as characters)</t>
  </si>
  <si>
    <t>Exactly one record for that user and NAME, under the same tenant as the save reply. Its key version matches the save reply (if the database stores one). Neither the typed nor the cleaned name appears in any readable form. This only shows the name is not readable. It does not prove it is encrypted; the encryption format is still waiting on Dev (question BQ-04).</t>
  </si>
  <si>
    <t xml:space="preserve">• Exactly one stored record for that user and NAME
• Stored user, field and tenant match the save reply
• Stored key version matches the save reply (when the database has one)
• Neither the typed nor the cleaned name is readable in the stored value</t>
  </si>
  <si>
    <t>If the name were stored as readable text, anyone with database access could read users’ personal details.</t>
  </si>
  <si>
    <t>3.  Read PII     POST /api/v1/pii-test/read        10 test cases  ·  ✔ 10  ·  ✘ 0  ·  — 0</t>
  </si>
  <si>
    <t>What this endpoint does: Read selected PII fields for one user.</t>
  </si>
  <si>
    <t>AISLE-RD-001</t>
  </si>
  <si>
    <r>
      <rPr>
        <b/>
        <color rgb="FF0F172A"/>
      </rPr>
      <t>Reading a saved name returns exactly that name</t>
    </r>
    <r>
      <rPr>
        <color rgb="FF334155"/>
      </rPr>
      <t xml:space="preserve">
Saves a fake name for a new fake test user, then reads the NAME field through the Aisle facade (Aisle’s front door to the PII service).</t>
    </r>
  </si>
  <si>
    <t>PII Read</t>
  </si>
  <si>
    <t>/api/v1/pii-test/read</t>
  </si>
  <si>
    <t>POST /api/v1/pii-test {"user_id":"&lt;new fake user&gt;","field":"NAME","value":"QA Automation User &lt;letters&gt;"} · POST /api/v1/pii-test/read {"user_id":"&lt;same user&gt;","field_names":["NAME"]}</t>
  </si>
  <si>
    <t xml:space="preserve">1. Save a fake name for a new fake user
2. Send a read request asking for NAME
3. Check the reply</t>
  </si>
  <si>
    <t>200 OK. Count is 1. The single item has that user ID, field NAME and exactly the saved name.</t>
  </si>
  <si>
    <t xml:space="preserve">• Status is 200
• Reply data has the same user ID and count 1
• Exactly one item, with field NAME
• The value equals the saved fake name</t>
  </si>
  <si>
    <t>Reading back exactly what was saved is the basic promise of the service.</t>
  </si>
  <si>
    <t>AISLE-RD-002</t>
  </si>
  <si>
    <r>
      <rPr>
        <b/>
        <color rgb="FF0F172A"/>
      </rPr>
      <t>Asking for a field the user has not saved leaves it out; the saved field is still returned</t>
    </r>
    <r>
      <rPr>
        <color rgb="FF334155"/>
      </rPr>
      <t xml:space="preserve">
Saves only a fake name for a new fake test user, then reads NAME and EMAIL together in one request.</t>
    </r>
  </si>
  <si>
    <t>POST /api/v1/pii-test {"user_id":"&lt;new fake user&gt;","field":"NAME","value":"QA Automation User"} · POST /api/v1/pii-test/read {"user_id":"&lt;same user&gt;","field_names":["NAME","EMAIL"]}</t>
  </si>
  <si>
    <t xml:space="preserve">1. Save a fake name for a new fake user
2. Send one read request asking for NAME and EMAIL
3. Check which items come back</t>
  </si>
  <si>
    <t>200 OK. Count is 1 and only the NAME item is returned, with the saved name. Seen on staging on 2026-10-01.</t>
  </si>
  <si>
    <t xml:space="preserve">• Status is 200 and count is 1
• Only a NAME item is returned
• The NAME value equals the saved fake name</t>
  </si>
  <si>
    <t>Screens often ask for several fields at once. A field that is missing must not hide the ones that exist.</t>
  </si>
  <si>
    <t>AISLE-RD-003</t>
  </si>
  <si>
    <r>
      <rPr>
        <b/>
        <color rgb="FF0F172A"/>
      </rPr>
      <t>Reading before any save returns 404 PII_NOT_FOUND; after saving a name, the read returns it</t>
    </r>
    <r>
      <rPr>
        <color rgb="FF334155"/>
      </rPr>
      <t xml:space="preserve">
Reads the NAME field for a new fake user ID before anything is saved, then saves a fake name for it and reads again.</t>
    </r>
  </si>
  <si>
    <t>POST /api/v1/pii-test/read {"user_id":"&lt;new fake user&gt;","field_names":["NAME"]} · POST /api/v1/pii-test {"user_id":"&lt;same user&gt;","field":"NAME","value":"QA Automation User"} · POST /api/v1/pii-test/read (again)</t>
  </si>
  <si>
    <t xml:space="preserve">1. Make a new fake user ID and read its NAME
2. Save a fake name for that user
3. Read the NAME again</t>
  </si>
  <si>
    <t>The first read gets 404 Not Found with the message “PII value not found” and the error code PII_NOT_FOUND (seen on staging). After the save, the read returns 200 with the saved name.</t>
  </si>
  <si>
    <t xml:space="preserve">• First read: status 404, error code PII_NOT_FOUND, message “PII value not found”, no data
• Save succeeds (201)
• Second read: status 200 with the saved fake name</t>
  </si>
  <si>
    <t>The app must be able to tell “no data yet” apart from a failure, and a first save must make the data readable.</t>
  </si>
  <si>
    <t>AISLE-RD-004</t>
  </si>
  <si>
    <r>
      <rPr>
        <b/>
        <color rgb="FF0F172A"/>
      </rPr>
      <t>A read request with an empty field list is rejected (422)</t>
    </r>
    <r>
      <rPr>
        <color rgb="FF334155"/>
      </rPr>
      <t xml:space="preserve">
Sends a read for a fake user with an empty list of fields.</t>
    </r>
  </si>
  <si>
    <t>POST /api/v1/pii-test/read {"user_id":"&lt;fake user&gt;","field_names":[]}</t>
  </si>
  <si>
    <t xml:space="preserve">1. Send a read with an empty field list
2. Check the reply</t>
  </si>
  <si>
    <t>422 (refused: the request format is invalid), naming the field list. No values are returned. The minimum of one field was observed from the service’s own validation message (2026-09-29).</t>
  </si>
  <si>
    <t xml:space="preserve">• Empty field list → 422 naming field_names
• No server error (5xx)</t>
  </si>
  <si>
    <t>A read that asks for nothing must be refused, never answered with someone’s data.</t>
  </si>
  <si>
    <t>AISLE-RD-005</t>
  </si>
  <si>
    <r>
      <rPr>
        <b/>
        <color rgb="FF0F172A"/>
      </rPr>
      <t>Reading an unknown field name is refused (403 AUTHORIZATION_DENIED)</t>
    </r>
    <r>
      <rPr>
        <color rgb="FF334155"/>
      </rPr>
      <t xml:space="preserve">
Reads a made-up field name (one the service does not know) for a fake test user.</t>
    </r>
  </si>
  <si>
    <t>POST /api/v1/pii-test/read {"user_id":"&lt;fake user&gt;","field_names":["QA_AUTOMATION_UNKNOWN_FIELD"]}</t>
  </si>
  <si>
    <t xml:space="preserve">1. Send a read asking for a made-up field name
2. Check the reply</t>
  </si>
  <si>
    <t>403 Forbidden (refused: access denied) with the error code AUTHORIZATION_DENIED, as seen on staging on 2026-09-29.</t>
  </si>
  <si>
    <t>Only agreed personal fields may be read. The service must refuse anything else.</t>
  </si>
  <si>
    <t>AISLE-RD-006</t>
  </si>
  <si>
    <r>
      <rPr>
        <b/>
        <color rgb="FF0F172A"/>
      </rPr>
      <t>Reading a user who has both a name and an email returns both (count 2) with the right values</t>
    </r>
    <r>
      <rPr>
        <color rgb="FF334155"/>
      </rPr>
      <t xml:space="preserve">
Saves a fake name and a fake email for one fake user, then reads both fields in one request.</t>
    </r>
  </si>
  <si>
    <t>POST /api/v1/pii-test/read {"user_id":"&lt;fake user&gt;","field_names":["NAME","EMAIL"]}</t>
  </si>
  <si>
    <t xml:space="preserve">1. Save a fake name and a fake email for a new fake user
2. Read NAME and EMAIL together
3. Check both values</t>
  </si>
  <si>
    <t>200 OK, count 2, one NAME item and one EMAIL item with the saved values. Seen on 2026-10-01.</t>
  </si>
  <si>
    <t xml:space="preserve">• Status 200
• Count is 2
• NAME and EMAIL values match what was saved</t>
  </si>
  <si>
    <t>Apps usually need several details at once. Every requested field must come back with the right value.</t>
  </si>
  <si>
    <t>AISLE-RD-007</t>
  </si>
  <si>
    <r>
      <rPr>
        <b/>
        <color rgb="FF0F172A"/>
      </rPr>
      <t>Asking for a known field together with an unknown one refuses the whole read (403) and returns no data</t>
    </r>
    <r>
      <rPr>
        <color rgb="FF334155"/>
      </rPr>
      <t xml:space="preserve">
Saves a fake name, then reads NAME together with a made-up field name.</t>
    </r>
  </si>
  <si>
    <t>POST /api/v1/pii-test/read {"user_id":"&lt;fake user&gt;","field_names":["NAME","QA_AUTOMATION_UNKNOWN_FIELD"]}</t>
  </si>
  <si>
    <t xml:space="preserve">1. Save a fake name
2. Read NAME plus a made-up field name
3. Check the reply</t>
  </si>
  <si>
    <t>403 Forbidden with code AUTHORIZATION_DENIED for the whole read, and no data returned (not even the name). Seen on 2026-10-01.</t>
  </si>
  <si>
    <t xml:space="preserve">• Status 403 AUTHORIZATION_DENIED
• No data in the reply
• No server error (5xx)</t>
  </si>
  <si>
    <t>One bad field name must not quietly return part of the data or reveal anything; the caller must notice the mistake.</t>
  </si>
  <si>
    <t>AISLE-RD-008</t>
  </si>
  <si>
    <r>
      <rPr>
        <b/>
        <color rgb="FF0F172A"/>
      </rPr>
      <t>Asking for the same field twice returns it twice (count 2)</t>
    </r>
    <r>
      <rPr>
        <color rgb="FF334155"/>
      </rPr>
      <t xml:space="preserve">
Saves a fake name, then reads with the field list ["NAME","NAME"].</t>
    </r>
  </si>
  <si>
    <t>POST /api/v1/pii-test/read {"user_id":"&lt;fake user&gt;","field_names":["NAME","NAME"]}</t>
  </si>
  <si>
    <t xml:space="preserve">1. Save a fake name
2. Read with NAME listed twice
3. Check the count and the items</t>
  </si>
  <si>
    <t>200 OK with the name returned twice (count 2); duplicates are not removed. Seen on 2026-10-01.</t>
  </si>
  <si>
    <t xml:space="preserve">• Status 200
• Count is 2
• Both items hold the saved name</t>
  </si>
  <si>
    <t>Records what the service does with a repeated field, so apps do not double-count data.</t>
  </si>
  <si>
    <t>AISLE-RD-009</t>
  </si>
  <si>
    <r>
      <rPr>
        <b/>
        <color rgb="FF0F172A"/>
      </rPr>
      <t>Empty or null entries in a read request are refused: a null field name or an empty user ID (422), an empty field name (403)</t>
    </r>
    <r>
      <rPr>
        <color rgb="FF334155"/>
      </rPr>
      <t xml:space="preserve">
Sends three reads with empty parts: a field list holding null, an empty user ID, and a field list holding an empty field name.</t>
    </r>
  </si>
  <si>
    <t>POST /api/v1/pii-test/read {"user_id":"&lt;fake user&gt;","field_names":[null]} · {"user_id":"","field_names":["NAME"]} · {"field_names":[""]}</t>
  </si>
  <si>
    <t xml:space="preserve">1. Read with field_names [null]
2. Read with user ID ""
3. Read with field_names [""]</t>
  </si>
  <si>
    <t>field_names [null] and user ID "" get 422 Unprocessable Entity (refused: the request format is invalid). field_names [""] gets 403 AUTHORIZATION_DENIED (it is treated as an unknown field) with no data. Seen on 2026-10-01; whether "" should be a 422 is open (question BQ-38).</t>
  </si>
  <si>
    <t xml:space="preserve">• [null] → 422 naming field_names.0
• user ID "" → 422 naming user_id
• [""] → 403 with no data
• No server error (5xx)</t>
  </si>
  <si>
    <t>Empty input must be refused, never treated as “any user” or “any field”.</t>
  </si>
  <si>
    <t>POC-002</t>
  </si>
  <si>
    <r>
      <rPr>
        <b/>
        <color rgb="FF0F172A"/>
      </rPr>
      <t>Reading a saved messy fake name returns it cleaned up: trimmed, single spaces</t>
    </r>
    <r>
      <rPr>
        <color rgb="FF334155"/>
      </rPr>
      <t xml:space="preserve">
Saves a messy fake name (spaces around it and several spaces between words) for a new fake test user, then reads the NAME field back.</t>
    </r>
  </si>
  <si>
    <t xml:space="preserve">1. Save a messy fake name for a new fake user
2. Send a read request for that user asking for NAME
3. Compare the returned value with the expected clean form</t>
  </si>
  <si>
    <t>200 OK. Exactly one item (count 1) for that user and field NAME. The value has the outer spaces removed and each run of inner spaces turned into one space, as seen on staging.</t>
  </si>
  <si>
    <t xml:space="preserve">• Read status is 200
• Count is 1
• The item has the same user ID and field NAME
• The value equals the clean name (trimmed, single spaces, capitals kept)</t>
  </si>
  <si>
    <t>Names are shown and compared across Aisle. If they are not cleaned up the same way every time, users see untidy or duplicate names.</t>
  </si>
  <si>
    <t>4.  Search PII     POST /api/v1/pii-test/{field}/search        15 test cases  ·  ✔ 14  ·  ✘ 0  ·  ⏸ 1 blocked  ·  — 0</t>
  </si>
  <si>
    <t>What this endpoint does: Exact normalized search on a searchable field.</t>
  </si>
  <si>
    <t>AISLE-SR-001</t>
  </si>
  <si>
    <r>
      <rPr>
        <b/>
        <color rgb="FF0F172A"/>
      </rPr>
      <t>Searching a saved fake email finds the user and returns only user IDs, not emails</t>
    </r>
    <r>
      <rPr>
        <color rgb="FF334155"/>
      </rPr>
      <t xml:space="preserve">
Saves a fake email for a new fake test user, then searches for it written in capitals with extra spaces, with values switched off (asking for user IDs only).</t>
    </r>
  </si>
  <si>
    <t>Search</t>
  </si>
  <si>
    <t>/api/v1/pii-test/{field}/search</t>
  </si>
  <si>
    <t>Needs EMAIL and search access for the Aisle caller (granted on 2026-10-01). If search is refused with 403 (access denied), the test is marked Blocked and the report shows that real reply.</t>
  </si>
  <si>
    <t>POST /api/v1/pii-test {"user_id":"&lt;new fake user&gt;","field":"EMAIL","value":"qa.auto.&lt;run&gt;@example.test"} · POST /api/v1/pii-test/EMAIL/search {"value":"  QA.AUTO.&lt;RUN&gt;@EXAMPLE.TEST  ","limit":10,"include_values":false}</t>
  </si>
  <si>
    <t xml:space="preserve">1. Save a fake email for a new fake user
2. Search the EMAIL field for the same email in capitals with spaces around it, with values off
3. Check the results</t>
  </si>
  <si>
    <t>200 OK. The fake user ID is in the results, and no result contains an email value. Seen on staging on 2026-10-01.</t>
  </si>
  <si>
    <t xml:space="preserve">• Search status is 200
• The fake user ID is among the matches
• No match contains a value (user IDs only)</t>
  </si>
  <si>
    <t>Aisle looks users up by email. Search must ignore case and spacing, and must not hand out emails nobody asked for.</t>
  </si>
  <si>
    <t>AISLE-SR-002</t>
  </si>
  <si>
    <r>
      <rPr>
        <b/>
        <color rgb="FF0F172A"/>
      </rPr>
      <t>Searching with values switched on returns the cleaned-up email</t>
    </r>
    <r>
      <rPr>
        <color rgb="FF334155"/>
      </rPr>
      <t xml:space="preserve">
Saves a fake email for a new fake test user, then searches for it with values switched on.</t>
    </r>
  </si>
  <si>
    <t>POST /api/v1/pii-test (fake email) · POST /api/v1/pii-test/EMAIL/search {"value":"qa.auto.&lt;run&gt;@example.test","limit":10,"include_values":true}</t>
  </si>
  <si>
    <t xml:space="preserve">1. Save a fake email for a new fake user
2. Search the EMAIL field with values on
3. Check the result</t>
  </si>
  <si>
    <t>200 OK. The result for the fake user contains the email in lower case with outer spaces removed. Seen on staging on 2026-10-01.</t>
  </si>
  <si>
    <t xml:space="preserve">• Search status is 200
• The fake user is among the matches
• Its value equals the fake email in lower case, trimmed</t>
  </si>
  <si>
    <t>Callers that are allowed to see values must get the clean stored form.</t>
  </si>
  <si>
    <t>AISLE-SR-003</t>
  </si>
  <si>
    <r>
      <rPr>
        <b/>
        <color rgb="FF0F172A"/>
      </rPr>
      <t>When more users match than the limit, only that many come back and the result is marked “truncated”</t>
    </r>
    <r>
      <rPr>
        <color rgb="FF334155"/>
      </rPr>
      <t xml:space="preserve">
Saves the same fake email for two new fake test users, then searches with a limit (the most results to return) of 1.</t>
    </r>
  </si>
  <si>
    <t>POST /api/v1/pii-test (same fake email for users A and B) · POST /api/v1/pii-test/EMAIL/search {"value":"&lt;that email&gt;","limit":1,"include_values":false}</t>
  </si>
  <si>
    <t xml:space="preserve">1. Save one fake email for two new fake users
2. Search for that email with limit 1
3. Check the number of results and the “truncated” flag (a yes/no that says results were cut off)</t>
  </si>
  <si>
    <t>200 OK. Exactly 1 result, and “truncated” is true. Seen on staging on 2026-10-01 (see AISLE-SR-016 for the edge case, question BQ-41).</t>
  </si>
  <si>
    <t xml:space="preserve">• Search status is 200
• Exactly 1 match
• “truncated” is true</t>
  </si>
  <si>
    <t>The limit keeps results small and safe. The caller must be told that more matches exist.</t>
  </si>
  <si>
    <t>AISLE-SR-004</t>
  </si>
  <si>
    <r>
      <rPr>
        <b/>
        <color rgb="FF0F172A"/>
      </rPr>
      <t>A search limit outside 1–100 is rejected (422)</t>
    </r>
    <r>
      <rPr>
        <color rgb="FF334155"/>
      </rPr>
      <t xml:space="preserve">
Searches for a fake email with a limit (the most results to return) of 0, then of 101.</t>
    </r>
  </si>
  <si>
    <t>POST /api/v1/pii-test/EMAIL/search {"value":"&lt;fake email&gt;","limit":0,"include_values":false} · POST /api/v1/pii-test/EMAIL/search {… "limit":101}</t>
  </si>
  <si>
    <t xml:space="preserve">1. Search with limit 0
2. Search with limit 101</t>
  </si>
  <si>
    <t>Both get 422 (refused: the request format is invalid), naming the limit as below 1 or above 100. No results are returned. Range seen on staging on 2026-09-29.</t>
  </si>
  <si>
    <t xml:space="preserve">• Limit 0 → 422 naming limit
• Limit 101 → 422 naming limit</t>
  </si>
  <si>
    <t>Unlimited searches could be used to pull out large amounts of personal data.</t>
  </si>
  <si>
    <t>AISLE-SR-005</t>
  </si>
  <si>
    <r>
      <rPr>
        <b/>
        <color rgb="FF0F172A"/>
      </rPr>
      <t>Searching for a fake email nobody has saved returns 200 with an empty list (count 0)</t>
    </r>
    <r>
      <rPr>
        <color rgb="FF334155"/>
      </rPr>
      <t xml:space="preserve">
Makes a fake email address that has never been saved (unique to this test run) and searches the EMAIL field for it, with values switched off (asking for user IDs only).</t>
    </r>
  </si>
  <si>
    <t>POST /api/v1/pii-test/EMAIL/search {"value":"&lt;never-saved fake email&gt;","limit":10,"include_values":false}</t>
  </si>
  <si>
    <t xml:space="preserve">1. Make a fake email that was never saved
2. Search the EMAIL field for it, with values off
3. Check the reply is 200 with an empty list and a count of 0</t>
  </si>
  <si>
    <t>200 OK. The reply data has exactly these parts: tenant_id, field, matches, count and truncated. The list of matches is empty, the count is 0, and “truncated” (the flag meaning “more results were cut off”) is false. No user ID or email is returned. Seen on staging on 2026-10-01.</t>
  </si>
  <si>
    <t xml:space="preserve">• Status is 200
• Reply data has exactly tenant_id, field, matches, count, truncated
• matches is empty
• count is 0
• truncated is false</t>
  </si>
  <si>
    <t>“Nobody found” is a normal answer. The app must get a clean, empty reply, not an error and not someone else’s data.</t>
  </si>
  <si>
    <t>AISLE-SR-006</t>
  </si>
  <si>
    <r>
      <rPr>
        <b/>
        <color rgb="FF0F172A"/>
      </rPr>
      <t>Wildcard characters (% _ * .*) are taken literally and never find other users</t>
    </r>
    <r>
      <rPr>
        <color rgb="FF334155"/>
      </rPr>
      <t xml:space="preserve">
Saves a fake email for a fake user, then searches with wildcard characters (%, _, *, .*) on their own and inside email-shaped patterns.</t>
    </r>
  </si>
  <si>
    <t>POST /api/v1/pii-test/EMAIL/search {"value":"%","limit":100,"include_values":false} · {"value":"%@example.test",…}</t>
  </si>
  <si>
    <t xml:space="preserve">1. Save a fake email for a new fake user
2. Search for %, _, *, .* and “start of the email + %”
3. Search for email-shaped patterns such as “%@example.test”
4. Check the fake user is never found</t>
  </si>
  <si>
    <t>Values that are not an email get 400 VALIDATION_ERROR with no data. Email-shaped patterns get 200 OK and never include the fake user. Seen on 2026-10-01.</t>
  </si>
  <si>
    <t xml:space="preserve">• Non-email wildcards → 400 VALIDATION_ERROR, no data
• Email-shaped wildcards → 200 without the fake user
• No server error (5xx)</t>
  </si>
  <si>
    <t>If wildcards worked, anyone could list other people’s emails by searching “%”. Search must only find exact matches.</t>
  </si>
  <si>
    <t>AISLE-SR-007</t>
  </si>
  <si>
    <r>
      <rPr>
        <b/>
        <color rgb="FF0F172A"/>
      </rPr>
      <t>Part of an email (only the name part, only the domain, the start or the end) never finds the user</t>
    </r>
    <r>
      <rPr>
        <color rgb="FF334155"/>
      </rPr>
      <t xml:space="preserve">
Saves a fake email, then searches for parts of it: only the name part, only the domain, “@domain”, the first 10 characters and the email without its first 5 characters.</t>
    </r>
  </si>
  <si>
    <t>POST /api/v1/pii-test/EMAIL/search {"value":"&lt;name part only&gt;",…} · {"value":"@example.test",…}</t>
  </si>
  <si>
    <t xml:space="preserve">1. Save a fake email for a new fake user
2. Search for each part of the email
3. Check the fake user is never found</t>
  </si>
  <si>
    <t>Parts that are not an email get 400 VALIDATION_ERROR. Email-shaped parts (“@domain”, the shortened email) get 200 OK without the fake user. Seen on 2026-10-01.</t>
  </si>
  <si>
    <t xml:space="preserve">• Non-email parts → 400 VALIDATION_ERROR
• Email-shaped parts → 200 without the fake user</t>
  </si>
  <si>
    <t>Partial matching would let someone find people from a fragment of their email. Search must be exact.</t>
  </si>
  <si>
    <t>AISLE-SR-008</t>
  </si>
  <si>
    <r>
      <rPr>
        <b/>
        <color rgb="FF0F172A"/>
      </rPr>
      <t>After a user’s email is replaced, searching the old email no longer finds them and the new email does</t>
    </r>
    <r>
      <rPr>
        <color rgb="FF334155"/>
      </rPr>
      <t xml:space="preserve">
Saves fake email A for a fake user, replaces it with fake email B, then searches for A and for B.</t>
    </r>
  </si>
  <si>
    <t>POST /api/v1/pii-test/EMAIL/search {"value":"&lt;old fake email&gt;",…} · {"value":"&lt;new fake email&gt;",…}</t>
  </si>
  <si>
    <t xml:space="preserve">1. Save email A, then email B for the same fake user
2. Search for email A
3. Search for email B</t>
  </si>
  <si>
    <t>Search for A: 200 OK without the user. Search for B: 200 OK with the user. Seen on 2026-10-01.</t>
  </si>
  <si>
    <t xml:space="preserve">• Old email does not find the user
• New email finds the user</t>
  </si>
  <si>
    <t>After someone changes their email, the old address must no longer lead to them.</t>
  </si>
  <si>
    <t>AISLE-SR-009</t>
  </si>
  <si>
    <r>
      <rPr>
        <b/>
        <color rgb="FF0F172A"/>
      </rPr>
      <t>An email-looking text saved as a NAME is not found by an EMAIL search</t>
    </r>
    <r>
      <rPr>
        <color rgb="FF334155"/>
      </rPr>
      <t xml:space="preserve">
Saves an email-looking text as a fake user’s NAME (not EMAIL), then runs an EMAIL search for that text.</t>
    </r>
  </si>
  <si>
    <t>POST /api/v1/pii-test {"field":"NAME","value":"&lt;fake email text&gt;"} · POST /api/v1/pii-test/EMAIL/search {"value":"&lt;same text&gt;",…}</t>
  </si>
  <si>
    <t xml:space="preserve">1. Save an email-looking text as NAME
2. Search the EMAIL field for it
3. Check the fake user is not found</t>
  </si>
  <si>
    <t>200 OK without the fake user. Seen on 2026-10-01.</t>
  </si>
  <si>
    <t xml:space="preserve">• Status 200
• The fake user is not in the matches</t>
  </si>
  <si>
    <t>An EMAIL search must only look at emails; mixing fields could expose the wrong data.</t>
  </si>
  <si>
    <t>AISLE-SR-010</t>
  </si>
  <si>
    <r>
      <rPr>
        <b/>
        <color rgb="FF0F172A"/>
      </rPr>
      <t>Two users with the same email are both found, each with the correct email when values are switched on</t>
    </r>
    <r>
      <rPr>
        <color rgb="FF334155"/>
      </rPr>
      <t xml:space="preserve">
Saves the same fake email for two fake users, then searches for it with values switched on (asking for the emails too).</t>
    </r>
  </si>
  <si>
    <t>POST /api/v1/pii-test/EMAIL/search {"value":"&lt;shared fake email&gt;","limit":10,"include_values":true}</t>
  </si>
  <si>
    <t xml:space="preserve">1. Save one fake email for two new fake users
2. Search for it with values on
3. Check both users and their emails</t>
  </si>
  <si>
    <t>200 OK with count 2, “truncated” false, both user IDs, and each match has exactly tenant_id, user_id, field and value, the value being the email. Seen on 2026-10-01.</t>
  </si>
  <si>
    <t xml:space="preserve">• Count 2 and both users found
• Each match has exactly 4 fields
• Each value is the email</t>
  </si>
  <si>
    <t>Shared emails (for example a family address) must return every owner, each with the right email.</t>
  </si>
  <si>
    <t>AISLE-SR-011</t>
  </si>
  <si>
    <r>
      <rPr>
        <b/>
        <color rgb="FF0F172A"/>
      </rPr>
      <t>The smallest and largest allowed limits (1 and 100) are accepted</t>
    </r>
    <r>
      <rPr>
        <color rgb="FF334155"/>
      </rPr>
      <t xml:space="preserve">
Saves one fake email for two fake users, then searches with limit 1 (the smallest allowed) and limit 100 (the largest).</t>
    </r>
  </si>
  <si>
    <t>POST /api/v1/pii-test/EMAIL/search {"value":"&lt;shared fake email&gt;","limit":1,…} · {… "limit":100}</t>
  </si>
  <si>
    <t xml:space="preserve">1. Save a shared fake email for two users
2. Search with limit 1
3. Search with limit 100</t>
  </si>
  <si>
    <t>Both are 200 OK: limit 1 returns 1 match, limit 100 returns both. Seen on 2026-10-01.</t>
  </si>
  <si>
    <t xml:space="preserve">• Limit 1 → 1 match
• Limit 100 → 2 matches</t>
  </si>
  <si>
    <t>The edge values of the allowed range must work, not only the middle.</t>
  </si>
  <si>
    <t>AISLE-SR-013</t>
  </si>
  <si>
    <r>
      <rPr>
        <b/>
        <color rgb="FF0F172A"/>
      </rPr>
      <t>Search settings with the wrong type: a decimal limit is rejected (422); a limit or switch written as text is accepted</t>
    </r>
    <r>
      <rPr>
        <color rgb="FF334155"/>
      </rPr>
      <t xml:space="preserve">
Searches for a saved fake email with settings of the wrong type: limit 10.5, limit "10" (text), limit 10.0, and the values switch as "true", "yes" and 1.</t>
    </r>
  </si>
  <si>
    <t>POST /api/v1/pii-test/EMAIL/search {"value":"&lt;fake email&gt;","limit":10.5,…} · {"limit":"10",…} · {"include_values":"yes",…}</t>
  </si>
  <si>
    <t xml:space="preserve">1. Save a fake email
2. Search with limit 10.5
3. Search with the other wrong-type settings
4. Check the replies</t>
  </si>
  <si>
    <t>limit 10.5 → 422 Unprocessable Entity naming the limit. limit "10" and 10.0 are accepted (200). "true", "yes" and 1 switch values on (200 with the email). Seen on 2026-10-01; whether this leniency is intended is open (question BQ-40).</t>
  </si>
  <si>
    <t xml:space="preserve">• 10.5 → 422 naming limit
• "10" and 10.0 → 200 with the user
• "true" / "yes" / 1 → values returned</t>
  </si>
  <si>
    <t>Records how strictly the service checks settings, so a typo cannot silently change what is returned.</t>
  </si>
  <si>
    <t>AISLE-SR-014</t>
  </si>
  <si>
    <r>
      <rPr>
        <b/>
        <color rgb="FF0F172A"/>
      </rPr>
      <t>Searching with an empty, blank or non-email value is refused (422 or 400) and returns no data</t>
    </r>
    <r>
      <rPr>
        <color rgb="FF334155"/>
      </rPr>
      <t xml:space="preserve">
Searches with an empty value, a value of only spaces, and a value that is not an email.</t>
    </r>
  </si>
  <si>
    <t>POST /api/v1/pii-test/EMAIL/search {"value":"","limit":10,"include_values":false} · {"value":"   "} · {"value":"qa-auto-not-an-email"}</t>
  </si>
  <si>
    <t xml:space="preserve">1. Search with ""
2. Search with "   "
3. Search with a non-email text</t>
  </si>
  <si>
    <t>Empty and blank values get 422 Unprocessable Entity naming the value. The non-email text gets 400 VALIDATION_ERROR with no data. Seen on 2026-10-01.</t>
  </si>
  <si>
    <t xml:space="preserve">• "" and "   " → 422 naming value
• Non-email → 400 VALIDATION_ERROR, no data
• No server error (5xx)</t>
  </si>
  <si>
    <t>Empty or meaningless searches must be refused, never treated as “match everything”.</t>
  </si>
  <si>
    <t>AISLE-SR-015</t>
  </si>
  <si>
    <r>
      <rPr>
        <b/>
        <color rgb="FF0F172A"/>
      </rPr>
      <t>Search on other fields: NAME search answers, PHONE checks the value is a phone (400), an unknown field is refused (403)</t>
    </r>
    <r>
      <rPr>
        <color rgb="FF334155"/>
      </rPr>
      <t xml:space="preserve">
Sends the same fake search to the NAME, PHONE and a made-up field instead of EMAIL.</t>
    </r>
  </si>
  <si>
    <t>POST /api/v1/pii-test/NAME/search {"value":"&lt;fake email&gt;","limit":10,"include_values":false} · /PHONE/search · /QA_AUTOMATION_UNKNOWN_FIELD/search</t>
  </si>
  <si>
    <t xml:space="preserve">1. Search the NAME field
2. Search the PHONE field with an email-like value
3. Search a made-up field</t>
  </si>
  <si>
    <t>NAME: 200 OK with field NAME and no matches. PHONE: 400 VALIDATION_ERROR (the value is not a phone) with no data. Made-up field: 403 AUTHORIZATION_DENIED with no data. Seen on 2026-10-01; NAME search is undocumented (question BQ-32).</t>
  </si>
  <si>
    <t xml:space="preserve">• NAME → 200, field NAME, no matches
• PHONE → 400 VALIDATION_ERROR, no data
• Made-up field → 403, no data</t>
  </si>
  <si>
    <t>Only the EMAIL search is documented. QA records what the other fields do, so nothing is exposed by accident.</t>
  </si>
  <si>
    <t>AISLE-SR-016</t>
  </si>
  <si>
    <r>
      <rPr>
        <b/>
        <color rgb="FF0F172A"/>
      </rPr>
      <t>When exactly as many users match as the limit, the result is complete and not marked “truncated”</t>
    </r>
    <r>
      <rPr>
        <color rgb="FF334155"/>
      </rPr>
      <t xml:space="preserve">
Saves one fake email for two fake users and searches with limit 2, so exactly as many users match as the limit allows.</t>
    </r>
  </si>
  <si>
    <t>Blocked until Dev confirms what “truncated” means (question BQ-41).</t>
  </si>
  <si>
    <t>POST /api/v1/pii-test/EMAIL/search {"value":"&lt;shared fake email&gt;","limit":2,"include_values":false}</t>
  </si>
  <si>
    <t xml:space="preserve">1. Save a shared fake email for two users
2. Search with limit 2
3. Check the count and the “truncated” flag</t>
  </si>
  <si>
    <t>Count 2 and “truncated” false (nothing was cut off). Blocked: on 2026-10-01 the reply said truncated true; Dev must confirm what the flag means (question BQ-41).</t>
  </si>
  <si>
    <t xml:space="preserve">• Count is 2
• “truncated” is false</t>
  </si>
  <si>
    <t>“Truncated” tells apps that more results exist. A wrong flag makes apps ask for pages that do not exist.</t>
  </si>
  <si>
    <t>BQ-41: on 2026-10-01 two matches with limit 2 came back with truncated: true; whether "truncated" means "more exist" is Dev’s answer | BLOCKED (BQ-41): on 2026-10-01 two matches with limit 2 came back with truncated: true; whether "truncated" means "more exist" is Dev’s answer</t>
  </si>
  <si>
    <t>BLOCKED — BQ-41: on 2026-10-01 two matches with limit 2 came back with truncated: true; whether "truncated" means "more exist" is Dev’s answer</t>
  </si>
  <si>
    <t>5.  Bulk read PII     POST /api/v1/pii-test/batch/read        12 test cases  ·  ✔ 11  ·  ✘ 0  ·  ⏸ 1 blocked  ·  — 0</t>
  </si>
  <si>
    <t>What this endpoint does: Read fields for multiple users in one set-based query.</t>
  </si>
  <si>
    <t>AISLE-BR-001</t>
  </si>
  <si>
    <r>
      <rPr>
        <b/>
        <color rgb="FF0F172A"/>
      </rPr>
      <t>Bulk read lifecycle: save names for two fake users, bulk read one, then both</t>
    </r>
    <r>
      <rPr>
        <color rgb="FF334155"/>
      </rPr>
      <t xml:space="preserve">
Saves fake names for two new fake test users (A and B), bulk reads (one request for several users) user A alone, then both.</t>
    </r>
  </si>
  <si>
    <t>Batch Read</t>
  </si>
  <si>
    <t>/api/v1/pii-test/batch/read</t>
  </si>
  <si>
    <t>POST /api/v1/pii-test {"user_id":"&lt;fake user A&gt;","field":"NAME","value":"QA Automation User A"} · POST /api/v1/pii-test (user B) · POST /api/v1/pii-test/batch/read {"user_ids":["&lt;A&gt;"],"fields":["NAME"]} · POST /api/v1/pii-test/batch/read {"user_ids":["&lt;A&gt;","&lt;B&gt;"],"fields":["NAME"]}</t>
  </si>
  <si>
    <t xml:space="preserve">1. Save a fake name for user A and for user B
2. Bulk read NAME for user A only
3. Bulk read NAME for both users
4. Match each returned item to its user</t>
  </si>
  <si>
    <t>Both bulk reads return 200 OK. The first has count 1 with user A’s name. The second has count 2, and each user’s item carries exactly that user’s name.</t>
  </si>
  <si>
    <t xml:space="preserve">• Both bulk reads: status 200
• User A alone: count 1, item for user A with user A’s name
• Both users: count 2, one item per user
• Every item has field NAME and its own user’s name</t>
  </si>
  <si>
    <t>Screens that list many users use bulk read. Each user must get exactly their own data, whether asked alone or together.</t>
  </si>
  <si>
    <t>AISLE-BR-002</t>
  </si>
  <si>
    <r>
      <rPr>
        <b/>
        <color rgb="FF0F172A"/>
      </rPr>
      <t>A bulk read fails as a whole (404) if one user has none of the requested fields</t>
    </r>
    <r>
      <rPr>
        <color rgb="FF334155"/>
      </rPr>
      <t xml:space="preserve">
Bulk reads NAME for one fake user who has a saved name and one fake user ID that was never used.</t>
    </r>
  </si>
  <si>
    <t>POST /api/v1/pii-test {"user_id":"&lt;fake user A&gt;","field":"NAME","value":"QA Automation User"} · POST /api/v1/pii-test/batch/read {"user_ids":["&lt;A&gt;","&lt;never-saved fake user&gt;"],"fields":["NAME"]}</t>
  </si>
  <si>
    <t xml:space="preserve">1. Save a fake name for user A
2. Send one bulk read for NAME for user A and an unused fake user ID</t>
  </si>
  <si>
    <t>404 Not Found with the error code PII_NOT_FOUND for the whole request. No values are returned.</t>
  </si>
  <si>
    <t xml:space="preserve">• Status is 404
• Error code is PII_NOT_FOUND
• Reply data is empty</t>
  </si>
  <si>
    <t>The rule seen on staging is all-or-nothing, so callers never get a silently incomplete list.</t>
  </si>
  <si>
    <t>AISLE-BR-003</t>
  </si>
  <si>
    <r>
      <rPr>
        <b/>
        <color rgb="FF0F172A"/>
      </rPr>
      <t>Bulk reads with an empty user list or more than 200 users are rejected (422)</t>
    </r>
    <r>
      <rPr>
        <color rgb="FF334155"/>
      </rPr>
      <t xml:space="preserve">
Sends a bulk read with an empty list of user IDs, then one with 201 fake user IDs.</t>
    </r>
  </si>
  <si>
    <t>POST /api/v1/pii-test/batch/read {"user_ids":[],"fields":["NAME"]} · POST /api/v1/pii-test/batch/read {"user_ids":["&lt;201 fake users&gt;"],"fields":["NAME"]}</t>
  </si>
  <si>
    <t xml:space="preserve">1. Send a bulk read with no user IDs
2. Send a bulk read with 201 fake user IDs</t>
  </si>
  <si>
    <t>Both get 422 (refused: the request format is invalid), naming the user ID list as too short or too long. Limits observed from the service’s own validation message (2026-09-29). The exact maximum is still open: a bulk read of exactly 200 users returned 403 (access denied) on staging, so it is not checked here (question BQ-18).</t>
  </si>
  <si>
    <t xml:space="preserve">• Empty user list → 422 naming user_ids
• 201 user IDs → 422 naming user_ids</t>
  </si>
  <si>
    <t>Very large bulk reads could pull out personal data in bulk or overload the service.</t>
  </si>
  <si>
    <t>AISLE-BR-004</t>
  </si>
  <si>
    <r>
      <rPr>
        <b/>
        <color rgb="FF0F172A"/>
      </rPr>
      <t>Bulk read with the same user ID twice returns only that user’s saved name</t>
    </r>
    <r>
      <rPr>
        <color rgb="FF334155"/>
      </rPr>
      <t xml:space="preserve">
Saves a fake name for one fake test user, then bulk reads it with that same user ID listed twice.</t>
    </r>
  </si>
  <si>
    <t>POST /api/v1/pii-test {"user_id":"&lt;fake user&gt;","field":"NAME","value":"QA Automation User"} · POST /api/v1/pii-test/batch/read {"user_ids":["&lt;same user&gt;","&lt;same user&gt;"],"fields":["NAME"]}</t>
  </si>
  <si>
    <t xml:space="preserve">1. Save a fake name for a new fake user
2. Send a bulk read listing that user ID twice
3. Check every returned item</t>
  </si>
  <si>
    <t>200 OK. Every item belongs to that user and carries the saved name. On staging the same item came back twice (count 2). Whether duplicates should be removed is not decided, so the count is only recorded, not checked.</t>
  </si>
  <si>
    <t xml:space="preserve">• Status is 200
• At least one item is returned
• Every item has that user ID, field NAME and the saved name
• The returned count is recorded in the report (not checked)</t>
  </si>
  <si>
    <t>Apps may send duplicates by mistake. The reply must still contain only that user’s own data.</t>
  </si>
  <si>
    <t>AISLE-BR-006</t>
  </si>
  <si>
    <r>
      <rPr>
        <b/>
        <color rgb="FF0F172A"/>
      </rPr>
      <t>Bulk read of an unknown field name is refused (403 AUTHORIZATION_DENIED)</t>
    </r>
    <r>
      <rPr>
        <color rgb="FF334155"/>
      </rPr>
      <t xml:space="preserve">
Bulk reads a made-up field name (one the service does not know) for a fake test user.</t>
    </r>
  </si>
  <si>
    <t>POST /api/v1/pii-test/batch/read {"user_ids":["&lt;fake user&gt;"],"fields":["QA_AUTOMATION_UNKNOWN_FIELD"]}</t>
  </si>
  <si>
    <t xml:space="preserve">1. Send a bulk read asking for a made-up field name
2. Check the reply</t>
  </si>
  <si>
    <t>403 Forbidden (refused: access denied) with the error code AUTHORIZATION_DENIED, like save and read of an unknown field. Seen on staging on 2026-10-01.</t>
  </si>
  <si>
    <t>Only agreed personal fields may be read in bulk. The service must refuse anything else.</t>
  </si>
  <si>
    <t>AISLE-BR-007</t>
  </si>
  <si>
    <r>
      <rPr>
        <b/>
        <color rgb="FF0F172A"/>
      </rPr>
      <t>A bulk read asking for a known field together with an unknown one is refused as a whole (403) and returns no data</t>
    </r>
    <r>
      <rPr>
        <color rgb="FF334155"/>
      </rPr>
      <t xml:space="preserve">
Saves a fake name, then bulk reads (one request for several users) NAME together with a made-up field name.</t>
    </r>
  </si>
  <si>
    <t>POST /api/v1/pii-test/batch/read {"user_ids":["&lt;fake user&gt;"],"fields":["NAME","QA_AUTOMATION_UNKNOWN_FIELD"]}</t>
  </si>
  <si>
    <t xml:space="preserve">1. Save a fake name
2. Bulk read NAME plus a made-up field
3. Check the reply</t>
  </si>
  <si>
    <t>403 Forbidden with AUTHORIZATION_DENIED for the whole bulk read, and no data. Seen on 2026-10-01.</t>
  </si>
  <si>
    <t>One bad field name must not return part of the data silently; the caller must notice.</t>
  </si>
  <si>
    <t>AISLE-BR-008</t>
  </si>
  <si>
    <r>
      <rPr>
        <b/>
        <color rgb="FF0F172A"/>
      </rPr>
      <t>A bulk read asking for the same field twice returns it twice (count 2)</t>
    </r>
    <r>
      <rPr>
        <color rgb="FF334155"/>
      </rPr>
      <t xml:space="preserve">
Saves a fake name, then bulk reads with the field list ["NAME","NAME"].</t>
    </r>
  </si>
  <si>
    <t>POST /api/v1/pii-test/batch/read {"user_ids":["&lt;fake user&gt;"],"fields":["NAME","NAME"]}</t>
  </si>
  <si>
    <t xml:space="preserve">1. Save a fake name
2. Bulk read with NAME listed twice
3. Check the count</t>
  </si>
  <si>
    <t>200 OK with the name returned twice (count 2). Seen on 2026-10-01.</t>
  </si>
  <si>
    <t>Records how a repeated field is handled, so apps do not double-count data.</t>
  </si>
  <si>
    <t>AISLE-BR-009</t>
  </si>
  <si>
    <r>
      <rPr>
        <b/>
        <color rgb="FF0F172A"/>
      </rPr>
      <t>Empty or null entries in a bulk read are refused: an empty field list or a null entry (422), an empty user ID (404)</t>
    </r>
    <r>
      <rPr>
        <color rgb="FF334155"/>
      </rPr>
      <t xml:space="preserve">
Sends four bulk reads with empty parts: an empty field list, a field list holding null, a user list holding null, and a user list holding an empty user ID.</t>
    </r>
  </si>
  <si>
    <t>POST /api/v1/pii-test/batch/read {"user_ids":["&lt;fake user&gt;"],"fields":[]} · {"fields":[null]} · {"user_ids":[null],…} · {"user_ids":[""],"fields":["NAME"]}</t>
  </si>
  <si>
    <t xml:space="preserve">1. Bulk read with fields []
2. Bulk read with fields [null] and with user_ids [null]
3. Bulk read with user_ids [""]</t>
  </si>
  <si>
    <t>fields [], fields [null] and user_ids [null] get 422 Unprocessable Entity (refused: the request format is invalid). user_ids [""] gets 404 PII_NOT_FOUND with no data. Seen on 2026-10-01; whether "" should be a 422 is open (question BQ-38).</t>
  </si>
  <si>
    <t xml:space="preserve">• [] and [null] → 422 naming the list
• user_ids [""] → 404, no data
• No server error (5xx)</t>
  </si>
  <si>
    <t>Empty input must be refused, never treated as “all users” or “all fields”.</t>
  </si>
  <si>
    <t>AISLE-BR-010</t>
  </si>
  <si>
    <r>
      <rPr>
        <b/>
        <color rgb="FF0F172A"/>
      </rPr>
      <t>Bulk reading the emails of three fake users returns each user’s own email</t>
    </r>
    <r>
      <rPr>
        <color rgb="FF334155"/>
      </rPr>
      <t xml:space="preserve">
Saves a different fake email for three fake users, then bulk reads the EMAIL field for all three.</t>
    </r>
  </si>
  <si>
    <t>POST /api/v1/pii-test/batch/read {"user_ids":["&lt;user 1&gt;","&lt;user 2&gt;","&lt;user 3&gt;"],"fields":["EMAIL"]}</t>
  </si>
  <si>
    <t xml:space="preserve">1. Save a fake email for each of three new fake users
2. Bulk read EMAIL for the three
3. Check each user’s email</t>
  </si>
  <si>
    <t>200 OK, count 3, each user with their own email. Seen on 2026-10-01.</t>
  </si>
  <si>
    <t xml:space="preserve">• Status 200
• Count is 3
• Each user has their own email</t>
  </si>
  <si>
    <t>Apps fetch contact details for many people at once; each must get their own email.</t>
  </si>
  <si>
    <t>AISLE-BR-011</t>
  </si>
  <si>
    <r>
      <rPr>
        <b/>
        <color rgb="FF0F172A"/>
      </rPr>
      <t>Bulk read of NAME and EMAIL for one user with only a name and one with only an email returns what each has (count 2)</t>
    </r>
    <r>
      <rPr>
        <color rgb="FF334155"/>
      </rPr>
      <t xml:space="preserve">
Saves only a fake name for user A and only a fake email for user B, then bulk reads NAME and EMAIL for both.</t>
    </r>
  </si>
  <si>
    <t>POST /api/v1/pii-test/batch/read {"user_ids":["&lt;user A&gt;","&lt;user B&gt;"],"fields":["NAME","EMAIL"]}</t>
  </si>
  <si>
    <t xml:space="preserve">1. Save a name for user A and an email for user B
2. Bulk read NAME and EMAIL for both
3. Check the items</t>
  </si>
  <si>
    <t>200 OK with count 2: user A’s name and user B’s email; the missing fields are left out. Seen on 2026-10-01. Note: a user with none of the requested fields makes the whole bulk read fail (404, AISLE-BR-002); whether that difference is intended is open (question BQ-42).</t>
  </si>
  <si>
    <t xml:space="preserve">• Status 200
• Items are A:NAME and B:EMAIL only
• Values match what was saved</t>
  </si>
  <si>
    <t>Real users have different fields filled in. The reply must say clearly what each one has.</t>
  </si>
  <si>
    <t>AISLE-BR-012</t>
  </si>
  <si>
    <r>
      <rPr>
        <b/>
        <color rgb="FF0F172A"/>
      </rPr>
      <t>Bulk read results come back in the same order as the requested user IDs</t>
    </r>
    <r>
      <rPr>
        <color rgb="FF334155"/>
      </rPr>
      <t xml:space="preserve">
Saves fake names for three fake users, then bulk reads them twice, listing the user IDs in two different orders.</t>
    </r>
  </si>
  <si>
    <t>POST /api/v1/pii-test/batch/read {"user_ids":["&lt;C&gt;","&lt;A&gt;","&lt;B&gt;"],"fields":["NAME"]}</t>
  </si>
  <si>
    <t xml:space="preserve">1. Save names for three fake users
2. Bulk read in order C, A, B
3. Bulk read in order B, C, A</t>
  </si>
  <si>
    <t>Both replies list the items in exactly the requested order. Seen on 2026-10-01.</t>
  </si>
  <si>
    <t>• Item order equals the requested order, both times</t>
  </si>
  <si>
    <t>Apps may match results to their own list by position; the order must be predictable.</t>
  </si>
  <si>
    <t>AISLE-BR-013</t>
  </si>
  <si>
    <r>
      <rPr>
        <b/>
        <color rgb="FF0F172A"/>
      </rPr>
      <t>A bulk read of 199 users works, and exactly 200 users (the stated maximum) works too</t>
    </r>
    <r>
      <rPr>
        <color rgb="FF334155"/>
      </rPr>
      <t xml:space="preserve">
Bulk reads 199 fake users, then exactly 200 (the stated maximum).</t>
    </r>
  </si>
  <si>
    <t>Blocked until Dev confirms the bulk-read maximum (question BQ-18).</t>
  </si>
  <si>
    <t>POST /api/v1/pii-test/batch/read {"user_ids":["&lt;199 or 200 fake users&gt;"],"fields":["NAME"]}</t>
  </si>
  <si>
    <t xml:space="preserve">1. Save names for 200 fake users
2. Bulk read 199 of them
3. Bulk read all 200</t>
  </si>
  <si>
    <t>Blocked: on staging exactly 200 users returned 403 (refused). QA does not create 200 records until Dev confirms the real maximum (question BQ-18).</t>
  </si>
  <si>
    <t>• Blocked until the maximum is confirmed</t>
  </si>
  <si>
    <t>The maximum must really be usable; today exactly 200 users is refused.</t>
  </si>
  <si>
    <t>BQ-18: exactly 200 users returned 403 on staging (2026-09-29); the real maximum must be confirmed before 200 records are created | BLOCKED (BQ-18): exactly 200 users returned 403 on staging (2026-09-29); the real maximum must be confirmed before 200 records are created</t>
  </si>
  <si>
    <t>BLOCKED — BQ-18: exactly 200 users returned 403 on staging (2026-09-29); the real maximum must be confirmed before 200 records are created</t>
  </si>
  <si>
    <t>6.  Create temporary phone     POST /api/v1/pii-test/transient/phones        2 test cases  ·  ✔ 2  ·  ✘ 0  ·  — 0</t>
  </si>
  <si>
    <t>What this endpoint does: Create a temporary encrypted phone mapping.</t>
  </si>
  <si>
    <t>AISLE-TR-001</t>
  </si>
  <si>
    <r>
      <rPr>
        <b/>
        <color rgb="FF0F172A"/>
      </rPr>
      <t>Creating a temporary phone returns an ID and an expiry time (201)</t>
    </r>
    <r>
      <rPr>
        <color rgb="FF334155"/>
      </rPr>
      <t xml:space="preserve">
Stores an approved test phone number (a number Dev confirmed is nobody’s real phone) as a temporary phone: a short-lived record for someone who has not signed up yet.</t>
    </r>
  </si>
  <si>
    <t>Transient Phone</t>
  </si>
  <si>
    <t>/api/v1/pii-test/transient/phones</t>
  </si>
  <si>
    <t>Needs the team-approved test phone numbers in AISLE_TEST_PHONES (never a real person’s number). Without them the test is marked Blocked (CONFIG). Response format observed 2026-10-01; Dev to confirm (question BQ-02).</t>
  </si>
  <si>
    <t>POST /api/v1/pii-test/transient/phones {"phone":"&lt;approved test phone&gt;","ttl_seconds":900}</t>
  </si>
  <si>
    <t xml:space="preserve">1. Take an approved test phone from the settings
2. Send the create request with the phone and a lifetime of 15 minutes
3. Check the reply</t>
  </si>
  <si>
    <t>201 Created with a temporary ID and an expiry time in the future. The phone is not repeated in the reply. Reply format and allowed lifetimes to be confirmed by Dev (question BQ-02).</t>
  </si>
  <si>
    <t xml:space="preserve">• Status is 201
• Reply has a temporary ID and an expiry time in the future
• The phone is not repeated in the reply</t>
  </si>
  <si>
    <t>Sign-up flows hold a phone before the user exists. The record must be created and must expire.</t>
  </si>
  <si>
    <t>AISLE-TR-006</t>
  </si>
  <si>
    <r>
      <rPr>
        <b/>
        <color rgb="FF0F172A"/>
      </rPr>
      <t>A lifetime of 0, a negative number or a huge number is refused; 300 seconds to 7 days is accepted</t>
    </r>
    <r>
      <rPr>
        <color rgb="FF334155"/>
      </rPr>
      <t xml:space="preserve">
Creates temporary phones for approved test phone 1 with lifetimes of 0, −1, 299 seconds, 604,801 seconds and 1,000,000,000 seconds, and with exactly 300 seconds and 604,800 seconds (7 days).</t>
    </r>
  </si>
  <si>
    <t>POST /api/v1/pii-test/transient/phones {"phone":"&lt;approved test phone 1&gt;","ttl_seconds":0} (and the other lifetimes)</t>
  </si>
  <si>
    <t xml:space="preserve">1. Create with lifetime 0 and −1
2. Create with 299, 604,801 and 1,000,000,000 seconds
3. Create with 300 and 604,800 seconds and check the expiry time</t>
  </si>
  <si>
    <t>0 and −1 get 422 Unprocessable Entity naming ttl_seconds. 299, 604,801 and 1,000,000,000 get 400 VALIDATION_ERROR with no data. 300 and 604,800 get 201 Created with an expiry time that many seconds away. Seen on staging on 2026-10-01; Dev still to confirm the range (question BQ-28).</t>
  </si>
  <si>
    <t xml:space="preserve">• 0 / −1 → 422 naming ttl_seconds
• 299 / 604,801 / 10⁹ → 400 VALIDATION_ERROR, no data
• 300 / 604,800 → 201, expiry about that far away
• No server error (5xx)</t>
  </si>
  <si>
    <t>A wrong lifetime could keep a phone number forever or make it unusable. The edges of the allowed range must work.</t>
  </si>
  <si>
    <t>7.  Look up temporary phone     POST /api/v1/pii-test/transient/phones/resolve        3 test cases  ·  ✔ 3  ·  ✘ 0  ·  — 0</t>
  </si>
  <si>
    <t>What this endpoint does: Resolve an owned, unexpired mapping.</t>
  </si>
  <si>
    <t>AISLE-TR-002</t>
  </si>
  <si>
    <r>
      <rPr>
        <b/>
        <color rgb="FF0F172A"/>
      </rPr>
      <t>Looking up a temporary phone returns the cleaned phone and says “do not cache”</t>
    </r>
    <r>
      <rPr>
        <color rgb="FF334155"/>
      </rPr>
      <t xml:space="preserve">
Creates a temporary phone from an approved test number, then looks it up by its temporary ID.</t>
    </r>
  </si>
  <si>
    <t>/api/v1/pii-test/transient/phones/resolve</t>
  </si>
  <si>
    <t>POST /api/v1/pii-test/transient/phones (approved test phone) · POST /api/v1/pii-test/transient/phones/resolve {"transient_id":"&lt;temporary ID&gt;"}</t>
  </si>
  <si>
    <t xml:space="preserve">1. Create a temporary phone
2. Send the look-up (resolve) request with its temporary ID
3. Check the reply and its headers (extra information sent with the reply)</t>
  </si>
  <si>
    <t>200 OK. The phone is returned as digits only, with the same temporary ID. The header “Cache-Control: no-store” (tells browsers and proxies not to keep a copy) is present. To be confirmed by Dev (question BQ-02).</t>
  </si>
  <si>
    <t xml:space="preserve">• Resolve status is 200 with the same temporary ID
• The phone is returned as digits only
• Header “Cache-Control: no-store” is present</t>
  </si>
  <si>
    <t>The app must get the phone back, and browsers or proxies must not keep a copy of it.</t>
  </si>
  <si>
    <t>AISLE-TR-004</t>
  </si>
  <si>
    <r>
      <rPr>
        <b/>
        <color rgb="FF0F172A"/>
      </rPr>
      <t>An unknown temporary ID returns 404; a badly formed ID returns 422</t>
    </r>
    <r>
      <rPr>
        <color rgb="FF334155"/>
      </rPr>
      <t xml:space="preserve">
Looks up a made-up but correctly formed temporary ID, then a badly formed one.</t>
    </r>
  </si>
  <si>
    <t>POST /api/v1/pii-test/transient/phones/resolve {"transient_id":"&lt;made-up ID&gt;"} · POST /api/v1/pii-test/transient/phones/resolve {"transient_id":"not-a-valid-id"}</t>
  </si>
  <si>
    <t xml:space="preserve">1. Send a look-up with an unknown temporary ID
2. Send a look-up with a badly formed ID</t>
  </si>
  <si>
    <t>The unknown ID gets 404 (not found). The badly formed ID gets 422 (refused: the request format is invalid). No phone is returned. To be confirmed by Dev (question BQ-02).</t>
  </si>
  <si>
    <t xml:space="preserve">• Unknown ID → 404
• Badly formed ID → 422 naming transient_id
• No phone is returned</t>
  </si>
  <si>
    <t>Guessing IDs must not reveal anything.</t>
  </si>
  <si>
    <t>AISLE-TR-005</t>
  </si>
  <si>
    <r>
      <rPr>
        <b/>
        <color rgb="FF0F172A"/>
      </rPr>
      <t>A temporary phone with the shortest lifetime can no longer be looked up after it expires (404)</t>
    </r>
    <r>
      <rPr>
        <color rgb="FF334155"/>
      </rPr>
      <t xml:space="preserve">
Creates a temporary phone (a short-lived phone record for someone not yet signed up) for approved test phone 1 with the shortest allowed lifetime (300 seconds), checks it can be looked up, waits until it has expired, then looks it up again.</t>
    </r>
  </si>
  <si>
    <t>Needs the team-approved test phone numbers in AISLE_TEST_PHONES (never a real person’s number). Without them the test is marked Blocked (CONFIG). Response format observed 2026-10-01; Dev to confirm (question BQ-02). Takes about 5½ minutes (tag @slow).</t>
  </si>
  <si>
    <t>POST /api/v1/pii-test/transient/phones {"phone":"&lt;approved test phone 1&gt;","ttl_seconds":300} · POST /api/v1/pii-test/transient/phones/resolve {"transient_id":"&lt;ID&gt;"} (before and after expiry)</t>
  </si>
  <si>
    <t xml:space="preserve">1. Create a temporary phone with a lifetime of 300 seconds
2. Look it up and check it is found (200)
3. Wait until its expiry time plus about 12 seconds
4. Look it up again</t>
  </si>
  <si>
    <t>Before expiry: 200 OK. After expiry: 404 Not Found with code TRANSIENT_PHONE_NOT_FOUND and no data, never a server error. Seen on staging on 2026-10-05. Slow test (about 5½ minutes, tag @slow).</t>
  </si>
  <si>
    <t xml:space="preserve">• Lookup before expiry → 200
• Lookup after expiry → 404 TRANSIENT_PHONE_NOT_FOUND, no data
• The expiry time is no more than about 6 minutes away (otherwise the test stops instead of waiting)</t>
  </si>
  <si>
    <t>Expired temporary phones must disappear, or phone numbers stay readable longer than allowed.</t>
  </si>
  <si>
    <t>8.  Promote temporary phone     POST /api/v1/pii-test/transient/phones/promote        4 test cases  ·  ✔ 3  ·  ✘ 0  ·  ⏸ 1 blocked  ·  — 0</t>
  </si>
  <si>
    <t>What this endpoint does: Store a transient phone as permanent user PII.</t>
  </si>
  <si>
    <t>AISLE-DB-010</t>
  </si>
  <si>
    <r>
      <rPr>
        <b/>
        <color rgb="FF0F172A"/>
      </rPr>
      <t>Promoting a temporary phone stores it as a normal encrypted PHONE record for the user</t>
    </r>
    <r>
      <rPr>
        <color rgb="FF334155"/>
      </rPr>
      <t xml:space="preserve">
Creates a temporary phone (a short-lived phone record not yet tied to a user) from an approved test number. Then promotes it, which makes it the permanent phone of a new fake user, and looks up that user’s PHONE record.</t>
    </r>
  </si>
  <si>
    <t>/api/v1/pii-test/transient/phones/promote</t>
  </si>
  <si>
    <t>Blocked until QA gets read-only access to the PII service’s own database (not the Aisle app database) and Dev confirms the table layout (question BQ-04). The QA database user must be able to read the encrypted-value, nonce and auth-tag columns. Only look-up (SELECT) queries are ever run. Also needs the approved test phones (otherwise Blocked: CONFIG), and is marked Blocked if temporary-phone access is refused with 403 (question BQ-02).</t>
  </si>
  <si>
    <t>POST /api/v1/pii-test/transient/phones {"phone":"&lt;approved test phone&gt;","ttl_seconds":300} · POST /api/v1/pii-test/transient/phones/promote {"transient_id":"&lt;ID&gt;","user_id":"&lt;new fake user&gt;"} · read-only database query (user, PHONE)</t>
  </si>
  <si>
    <t xml:space="preserve">1. Create a temporary phone from an approved test number, with a 300-second lifetime
2. Promote it to a new fake user
3. Look up the user’s PHONE record
4. Check the parts of the encrypted value and search the stored value for the number</t>
  </si>
  <si>
    <t>Create gets 201 Created and promote 200 OK (seen on staging; the reply format is still to be confirmed, question BQ-02). There is exactly one PHONE record. The key version (the number of the encryption key used) is 1 or higher. The nonce (a number used once) is 12 bytes and the auth tag (a tamper seal) 16 bytes. A search fingerprint is present, because PHONE is searchable. The number is not readable as typed, as digits only, or as “+91” and the digits. Per the PII-service design; to be confirmed by Dev (question BQ-04).</t>
  </si>
  <si>
    <t xml:space="preserve">• Create is 201 and promote is 200
• Exactly one PHONE record
• Key version is 1 or higher
• Nonce is 12 bytes and auth tag is 16 bytes
• A search fingerprint is present
• The number is not readable in any form</t>
  </si>
  <si>
    <t>Promote is a second way phones get into storage. It must store them as safely as a normal save, otherwise phones added this way would be readable in the database.</t>
  </si>
  <si>
    <t>AISLE-TR-003</t>
  </si>
  <si>
    <r>
      <rPr>
        <b/>
        <color rgb="FF0F172A"/>
      </rPr>
      <t>Promoting a temporary phone saves it as the user’s phone and uses the mapping up</t>
    </r>
    <r>
      <rPr>
        <color rgb="FF334155"/>
      </rPr>
      <t xml:space="preserve">
Creates a temporary phone, promotes it (turns it into the permanent PHONE of a new fake test user), then tries to look it up and promote it again.</t>
    </r>
  </si>
  <si>
    <t>POST /api/v1/pii-test/transient/phones (approved test phone) · POST /api/v1/pii-test/transient/phones/promote {"transient_id":"&lt;temporary ID&gt;","user_id":"&lt;new fake user&gt;"} · POST /api/v1/pii-test/read {"user_id":"&lt;same user&gt;","field_names":["PHONE"]} · POST /api/v1/pii-test/transient/phones/resolve and /promote again</t>
  </si>
  <si>
    <t xml:space="preserve">1. Create a temporary phone
2. Promote it to a new fake user
3. Read that user’s PHONE field
4. Look up and promote the same temporary ID again</t>
  </si>
  <si>
    <t>Promote returns 200 OK for that user and field PHONE. Reading PHONE returns the digits. The second look-up and second promote both return 404 (not found). To be confirmed by Dev (question BQ-02).</t>
  </si>
  <si>
    <t xml:space="preserve">• Promote status is 200 for that user and field PHONE
• Reading PHONE returns the digits
• Second resolve returns 404
• Second promote returns 404</t>
  </si>
  <si>
    <t>A temporary number must become permanent only once, so it cannot be reused or stolen later.</t>
  </si>
  <si>
    <t>AISLE-TR-007</t>
  </si>
  <si>
    <r>
      <rPr>
        <b/>
        <color rgb="FF0F172A"/>
      </rPr>
      <t>Promoting a temporary phone after it has expired is refused (404) and saves nothing</t>
    </r>
    <r>
      <rPr>
        <color rgb="FF334155"/>
      </rPr>
      <t xml:space="preserve">
Creates a temporary phone for approved test phone 2 with the shortest allowed lifetime (300 seconds), checks it can be looked up, waits until it has expired, then tries to promote it (make it the permanent phone) for a new fake user.</t>
    </r>
  </si>
  <si>
    <t>POST /api/v1/pii-test/transient/phones {"phone":"&lt;approved test phone 2&gt;","ttl_seconds":300} · POST /api/v1/pii-test/transient/phones/promote {"transient_id":"&lt;expired ID&gt;","user_id":"&lt;new fake user&gt;"} · POST /api/v1/pii-test/read {"field_names":["PHONE"]}</t>
  </si>
  <si>
    <t xml:space="preserve">1. Create a temporary phone with a lifetime of 300 seconds and check it is found (200)
2. Wait until its expiry time plus about 12 seconds
3. Promote it for a new fake user
4. Read that user’s phone</t>
  </si>
  <si>
    <t>The promote gets 404 Not Found with code TRANSIENT_PHONE_NOT_FOUND and no data, never a server error. Reading the user’s phone gets 404 (nothing was saved). Seen on staging on 2026-10-05. Slow test (about 5½ minutes, tag @slow).</t>
  </si>
  <si>
    <t xml:space="preserve">• Lookup before expiry → 200
• Promote after expiry → 404 TRANSIENT_PHONE_NOT_FOUND, no data
• The user has no saved phone (404)</t>
  </si>
  <si>
    <t>An expired temporary phone must never become someone’s permanent phone.</t>
  </si>
  <si>
    <t>AISLE-TR-008</t>
  </si>
  <si>
    <r>
      <rPr>
        <b/>
        <color rgb="FF0F172A"/>
      </rPr>
      <t>Promoting a temporary phone onto a user who already has a phone replaces that phone</t>
    </r>
    <r>
      <rPr>
        <color rgb="FF334155"/>
      </rPr>
      <t xml:space="preserve">
Saves approved test phone 1 for a new fake user, then creates a temporary phone for approved test phone 2 and promotes it onto that user.</t>
    </r>
  </si>
  <si>
    <t>POST /api/v1/pii-test {"field":"PHONE","value":"&lt;approved test phone 1&gt;"} · POST /api/v1/pii-test/transient/phones {"phone":"&lt;approved test phone 2&gt;","ttl_seconds":900} · …/promote {"transient_id":"&lt;ID&gt;","user_id":"&lt;same user&gt;"}</t>
  </si>
  <si>
    <t xml:space="preserve">1. Save approved test phone 1 for a new fake user
2. Create a temporary phone for approved test phone 2
3. Promote it onto the user
4. Read the user’s phone and look up the temporary phone again</t>
  </si>
  <si>
    <t>200 OK with created false (an existing phone was replaced) and consumed true. The user’s phone is now phone 2 (digits only). Looking up the temporary phone afterwards gets 404 TRANSIENT_PHONE_NOT_FOUND. Seen on staging on 2026-10-01.</t>
  </si>
  <si>
    <t xml:space="preserve">• Promote 200 with created false and consumed true
• User’s phone is phone 2
• Lookup afterwards → 404 TRANSIENT_PHONE_NOT_FOUND</t>
  </si>
  <si>
    <t>A promote must replace the old phone cleanly and say so, so no number is lost silently.</t>
  </si>
  <si>
    <t>9.  Create encryption key     POST /api/v1/pii-test/free-text/keys        3 test cases  ·  ✔ 2  ·  ✘ 0  ·  ⏸ 1 blocked  ·  — 0</t>
  </si>
  <si>
    <t>What this endpoint does: Create a caller-owned free-text encryption key.</t>
  </si>
  <si>
    <t>AISLE-DB-013</t>
  </si>
  <si>
    <r>
      <rPr>
        <b/>
        <color rgb="FF0F172A"/>
      </rPr>
      <t>A free-text key is stored without the raw key being readable, and revoking it marks the record REVOKED with a time</t>
    </r>
    <r>
      <rPr>
        <color rgb="FF334155"/>
      </rPr>
      <t xml:space="preserve">
Creates a free-text key (a secret Aisle will use to encrypt long texts such as a bio). Looks up its stored record in the PII database (read-only). Then revokes the key (switches it off for good) and looks again.</t>
    </r>
  </si>
  <si>
    <t>/api/v1/pii-test/free-text/keys</t>
  </si>
  <si>
    <t>Blocked until QA gets read-only access to the PII service’s own database (question BQ-04) and Dev says which table stores free-text keys and whether the key is stored encrypted (question BQ-45). Only look-up (SELECT) queries are ever run.</t>
  </si>
  <si>
    <t>POST /api/v1/pii-test/free-text/keys {} · read-only database query “findFreeTextKey” · POST /api/v1/pii-test/free-text/keys/revoke {"key_id":"&lt;key ID&gt;"} · the same query again</t>
  </si>
  <si>
    <t xml:space="preserve">1. Create a free-text key
2. Look up its stored record by key ID
3. Check the status is ACTIVE and the raw key is not in the stored data
4. Revoke the key
5. Look up the record again</t>
  </si>
  <si>
    <t>Create gets 201 Created and revoke 200 OK with status REVOKED (seen on staging). Before the revoke there is one record with status ACTIVE. The raw key does not appear in the stored data, as raw bytes, Base64 or hex. After the revoke the status is REVOKED and the revoked time is set. The table and storage format are unknown; to be confirmed by Dev (questions BQ-04 and BQ-45). If Dev says keys are stored raw, this test stays strict and fails as a security finding.</t>
  </si>
  <si>
    <t xml:space="preserve">• One stored record with status ACTIVE
• The raw key is not stored (raw bytes, Base64 or hex)
• Revoke is 200 with status REVOKED
• After the revoke the stored status is REVOKED and the revoked time is set</t>
  </si>
  <si>
    <t>Anyone who could read the raw key in the database could decrypt users’ free text. The database must also really record a revoke, otherwise a “revoked” key might still be handed out.</t>
  </si>
  <si>
    <t>AISLE-FT-001</t>
  </si>
  <si>
    <r>
      <rPr>
        <b/>
        <color rgb="FF0F172A"/>
      </rPr>
      <t>Creating a free-text encryption key returns a new 256-bit key, marked “do not cache”</t>
    </r>
    <r>
      <rPr>
        <color rgb="FF334155"/>
      </rPr>
      <t xml:space="preserve">
Creates a free-text key (a secret used to encrypt free-text notes) through the Aisle facade (Aisle’s front door to the PII service).</t>
    </r>
  </si>
  <si>
    <t>Free-Text Keys</t>
  </si>
  <si>
    <t>Needs free-text key access for the Aisle caller (granted on 2026-10-01). If a call is refused with 403 (access denied), the test is marked Blocked and the report shows that real reply.</t>
  </si>
  <si>
    <t>POST /api/v1/pii-test/free-text/keys {}</t>
  </si>
  <si>
    <t xml:space="preserve">1. Send the create-key request
2. Check the reply and its headers (extra information sent with the reply)
3. Search our test log for the key</t>
  </si>
  <si>
    <t>201 Created with a key ID and a 256-bit key (32 bytes, written in Base64 characters). The header “Cache-Control: no-store” (tells browsers and proxies not to keep a copy) is present. The key does not appear in our logs. Seen on staging on 2026-10-01.</t>
  </si>
  <si>
    <t xml:space="preserve">• Status is 201
• Reply has a key ID and a 256-bit key in Base64
• Header “Cache-Control: no-store” is present
• The key does not appear in the test log</t>
  </si>
  <si>
    <t>Notes are encrypted with this key. It must be the right strength, must never be kept in caches and must never end up in our logs.</t>
  </si>
  <si>
    <t>AISLE-FT-005</t>
  </si>
  <si>
    <r>
      <rPr>
        <b/>
        <color rgb="FF0F172A"/>
      </rPr>
      <t>Two keys created one after the other get different key IDs and different keys</t>
    </r>
    <r>
      <rPr>
        <color rgb="FF334155"/>
      </rPr>
      <t xml:space="preserve">
Creates two free-text keys (secrets used to encrypt notes) one after the other and compares them without printing them.</t>
    </r>
  </si>
  <si>
    <t>POST /api/v1/pii-test/free-text/keys {} (twice)</t>
  </si>
  <si>
    <t xml:space="preserve">1. Create a key
2. Create a second key
3. Compare their key IDs and keys</t>
  </si>
  <si>
    <t>Both creates succeed; the two key IDs differ and the two keys differ. Seen on 2026-10-01.</t>
  </si>
  <si>
    <t xml:space="preserve">• Key IDs differ
• Keys differ</t>
  </si>
  <si>
    <t>If two keys were the same, opening one person’s notes would open another’s.</t>
  </si>
  <si>
    <t>10.  Read encryption key     POST /api/v1/pii-test/free-text/keys/read        4 test cases  ·  ✔ 4  ·  ✘ 0  ·  — 0</t>
  </si>
  <si>
    <t>What this endpoint does: Retrieve an active caller-owned key.</t>
  </si>
  <si>
    <t>AISLE-FT-002</t>
  </si>
  <si>
    <r>
      <rPr>
        <b/>
        <color rgb="FF0F172A"/>
      </rPr>
      <t>Reading an active key returns the same key, marked “do not cache”</t>
    </r>
    <r>
      <rPr>
        <color rgb="FF334155"/>
      </rPr>
      <t xml:space="preserve">
Creates a free-text key (a secret used to encrypt notes), then reads it again by its key ID.</t>
    </r>
  </si>
  <si>
    <t>/api/v1/pii-test/free-text/keys/read</t>
  </si>
  <si>
    <t>POST /api/v1/pii-test/free-text/keys {} · POST /api/v1/pii-test/free-text/keys/read {"key_id":"&lt;key ID&gt;"}</t>
  </si>
  <si>
    <t xml:space="preserve">1. Create a key
2. Send the read-key request with its key ID
3. Compare the two keys</t>
  </si>
  <si>
    <t>200 OK with the same key, and the header “Cache-Control: no-store” (tells browsers and proxies not to keep a copy). Seen on staging on 2026-10-01.</t>
  </si>
  <si>
    <t xml:space="preserve">• Read status is 200
• The key equals the one created
• Header “Cache-Control: no-store” is present</t>
  </si>
  <si>
    <t>Encrypted notes can only be opened again with exactly the same key.</t>
  </si>
  <si>
    <t>AISLE-FT-003</t>
  </si>
  <si>
    <r>
      <rPr>
        <b/>
        <color rgb="FF0F172A"/>
      </rPr>
      <t>A revoked free-text key can no longer be read (404), and a made-up key ID also returns 404</t>
    </r>
    <r>
      <rPr>
        <color rgb="FF334155"/>
      </rPr>
      <t xml:space="preserve">
Creates a fake free-text key (a secret used to encrypt notes) and revokes it (switches it off for good). Then tries to read that key, and also tries to read a made-up key ID that never existed.</t>
    </r>
  </si>
  <si>
    <t>POST /api/v1/pii-test/free-text/keys {} · POST /api/v1/pii-test/free-text/keys/revoke {"key_id":"&lt;key ID&gt;"} · POST /api/v1/pii-test/free-text/keys/read {"key_id":"&lt;same key ID&gt;"} · POST /api/v1/pii-test/free-text/keys/read {"key_id":"&lt;made-up ID&gt;"}</t>
  </si>
  <si>
    <t xml:space="preserve">1. Create a fake key
2. Revoke it and check the reply
3. Try to read the revoked key
4. Try to read a made-up key ID</t>
  </si>
  <si>
    <t>Revoke returns 200 OK with status REVOKED. Reading the revoked key returns 404 Not Found (the key is gone). Reading the made-up key ID also returns 404 Not Found. Seen on staging on 2026-10-01. Revoking the same key a second time is checked separately in AISLE-FT-004.</t>
  </si>
  <si>
    <t xml:space="preserve">• Revoke status is 200 with status REVOKED
• Reading the revoked key → 404
• Reading a made-up key ID → 404</t>
  </si>
  <si>
    <t>Revoking must really switch a key off, for example after it leaked. Asking for a key that does not exist must not return anything. Revoking is also expected to be how free text is erased (crypto-shredding: the encrypted text stays in Aisle’s database, but can never be decrypted again because the key is gone); to be confirmed by Dev (question BQ-47).</t>
  </si>
  <si>
    <t>AISLE-FT-006</t>
  </si>
  <si>
    <r>
      <rPr>
        <b/>
        <color rgb="FF0F172A"/>
      </rPr>
      <t>Reading or revoking with a badly formed, empty or numeric key ID is rejected (422)</t>
    </r>
    <r>
      <rPr>
        <color rgb="FF334155"/>
      </rPr>
      <t xml:space="preserve">
Reads and revokes keys using a key ID that is badly formed, empty, or a number.</t>
    </r>
  </si>
  <si>
    <t>POST /api/v1/pii-test/free-text/keys/read {"key_id":"not-a-uuid"} · {"key_id":""} · {"key_id":123} (and the same for /revoke)</t>
  </si>
  <si>
    <t xml:space="preserve">1. Send read with each bad key ID
2. Send revoke with each bad key ID
3. Check the replies</t>
  </si>
  <si>
    <t>Every request gets 422 Unprocessable Entity (refused: the request format is invalid) naming key_id. Seen on 2026-10-01.</t>
  </si>
  <si>
    <t xml:space="preserve">• Each is 422 naming key_id
• No server error (5xx)</t>
  </si>
  <si>
    <t>Bad key IDs must be refused clearly, never matched to some other key.</t>
  </si>
  <si>
    <t>AISLE-FT-008</t>
  </si>
  <si>
    <r>
      <rPr>
        <b/>
        <color rgb="FF0F172A"/>
      </rPr>
      <t>A free-text key from the service can encrypt a fake bio, and the same key read back by its ID decrypts it</t>
    </r>
    <r>
      <rPr>
        <color rgb="FF334155"/>
      </rPr>
      <t xml:space="preserve">
Creates a free-text key (a secret used to encrypt long texts such as a bio). On the test machine, uses it to encrypt a fake bio with AES-256-GCM (the encryption method named in the reply) and a fresh random 12-byte nonce (a number used once). Then reads the key again by its key ID and decrypts the fake bio with the key it got back.</t>
    </r>
  </si>
  <si>
    <t xml:space="preserve">1. Create a free-text key and check the reply
2. Encrypt a fake bio on the test machine with that key
3. Read the key again by its key ID
4. Decrypt the fake bio with the re-read key
5. Compare the result with the original fake bio</t>
  </si>
  <si>
    <t>Create gets 201 Created with algorithm AES-256-GCM. Read gets 200 OK. Decryption succeeds (the tamper seal, which rejects wrong keys or changed data, is accepted), and the text equals the original fake bio exactly. The key is never printed; it is only compared through a hash. The encryption is done by the test, not by the service: this proves the key the service hands out is usable and stays the same. Create and read were seen on staging on 2026-10-01.</t>
  </si>
  <si>
    <t xml:space="preserve">• Create is 201 with algorithm AES-256-GCM
• Read is 200
• Decryption with the re-read key succeeds
• The decrypted text equals the original fake bio</t>
  </si>
  <si>
    <t>This is how Aisle will protect long texts: encrypt with the key now, and decrypt later with the same key fetched from the service. If the key returned later did not work, users’ texts could never be shown again.</t>
  </si>
  <si>
    <t>11.  Revoke encryption key     POST /api/v1/pii-test/free-text/keys/revoke        2 test cases  ·  ✔ 1  ·  ✘ 0  ·  ⏸ 1 blocked  ·  — 0</t>
  </si>
  <si>
    <t>What this endpoint does: Revoke a caller-owned key.</t>
  </si>
  <si>
    <t>AISLE-FT-004</t>
  </si>
  <si>
    <r>
      <rPr>
        <b/>
        <color rgb="FF0F172A"/>
      </rPr>
      <t>Revoking a free-text key that is already revoked: expected reply waiting on Dev (404 or 200)</t>
    </r>
    <r>
      <rPr>
        <color rgb="FF334155"/>
      </rPr>
      <t xml:space="preserve">
Creates a fake free-text key (a secret used to encrypt notes), revokes it (switches it off for good), then sends the same revoke request a second time.</t>
    </r>
  </si>
  <si>
    <t>/api/v1/pii-test/free-text/keys/revoke</t>
  </si>
  <si>
    <t>Blocked until Dev answers question BQ-33 (should revoking an already-revoked key return 404 or 200?).</t>
  </si>
  <si>
    <t>POST /api/v1/pii-test/free-text/keys {} · POST /api/v1/pii-test/free-text/keys/revoke {"key_id":"&lt;key ID&gt;"} (twice)</t>
  </si>
  <si>
    <t xml:space="preserve">1. Create a fake key
2. Revoke it and check the reply is 200 with status REVOKED
3. Revoke the same key again
4. Check the reply to the second revoke</t>
  </si>
  <si>
    <t>Not decided yet. On 2026-10-01 staging answered the second revoke with 200 OK. Dev must say whether that is intended (200: “already revoked, nothing to do”) or whether it should be 404 Not Found. Blocked until Dev answers question BQ-33.</t>
  </si>
  <si>
    <t xml:space="preserve">• First revoke: status 200 with status REVOKED
• Second revoke: the status agreed with Dev (added once question BQ-33 is answered)</t>
  </si>
  <si>
    <t>Apps may repeat a revoke, for example after a network error. The reply must be predictable, so a repeat is not mistaken for a failure, or a failure for success.</t>
  </si>
  <si>
    <t>BQ-33: second revoke: 404 or 200 (idempotent)? Staging returned 200 on 2026-10-01 — expected reply not decided | BLOCKED (BQ-33): second revoke: 404 or 200 (idempotent)? Staging returned 200 on 2026-10-01 — expected reply not decided</t>
  </si>
  <si>
    <t>BLOCKED — BQ-33: second revoke: 404 or 200 (idempotent)? Staging returned 200 on 2026-10-01 — expected reply not decided</t>
  </si>
  <si>
    <t>AISLE-FT-007</t>
  </si>
  <si>
    <r>
      <rPr>
        <b/>
        <color rgb="FF0F172A"/>
      </rPr>
      <t>Revoking a key ID that never existed returns 404 “Free-text key not found”</t>
    </r>
    <r>
      <rPr>
        <color rgb="FF334155"/>
      </rPr>
      <t xml:space="preserve">
Revokes a made-up key ID (a valid-looking ID that never existed).</t>
    </r>
  </si>
  <si>
    <t>POST /api/v1/pii-test/free-text/keys/revoke {"key_id":"&lt;random ID&gt;"}</t>
  </si>
  <si>
    <t xml:space="preserve">1. Make a random key ID
2. Send the revoke request
3. Check the reply</t>
  </si>
  <si>
    <t>404 Not Found with code FREE_TEXT_KEY_NOT_FOUND and the message “Free-text key not found”. Seen on 2026-10-01.</t>
  </si>
  <si>
    <t xml:space="preserve">• Status 404 FREE_TEXT_KEY_NOT_FOUND
• Message “Free-text key not found”</t>
  </si>
  <si>
    <t>Revoking something that does not exist must say so, not pretend it worked.</t>
  </si>
  <si>
    <t>12.  Across endpoints     several endpoints        10 test cases  ·  ✔ 6  ·  ✘ 0  ·  ⏸ 4 blocked  ·  — 0</t>
  </si>
  <si>
    <t>What this endpoint does: Checks that span several or all endpoints.</t>
  </si>
  <si>
    <t>AISLE-CON-001</t>
  </si>
  <si>
    <r>
      <rPr>
        <b/>
        <color rgb="FF0F172A"/>
      </rPr>
      <t>The data part of NAME save, read and bulk-read replies contains exactly the agreed fields</t>
    </r>
    <r>
      <rPr>
        <color rgb="FF334155"/>
      </rPr>
      <t xml:space="preserve">
Saves a fake name, reads it, and bulk reads (one request for several users) two fake users, then compares the field names inside the data part of each reply with the list seen on staging.</t>
    </r>
  </si>
  <si>
    <t>several</t>
  </si>
  <si>
    <t>POST /api/v1/pii-test (fake name) · POST /api/v1/pii-test/read · POST /api/v1/pii-test/batch/read (two fake users)</t>
  </si>
  <si>
    <t xml:space="preserve">1. Save a fake name, read it, and bulk read two fake users
2. Compare the field names in each reply’s data part with the agreed list</t>
  </si>
  <si>
    <t>Save data has exactly tenant_id, user_id, field and key_version. Read data has tenant_id, user_id, items and count; bulk-read data has tenant_id, items and count; every item has tenant_id, user_id, field and value. Only field names are compared, never values. The envelope around the data and the tenant value are set by the facade and are not checked.</t>
  </si>
  <si>
    <t xml:space="preserve">• Save data has exactly tenant_id, user_id, field, key_version
• Read and bulk-read data and items have exactly the observed fields</t>
  </si>
  <si>
    <t>Apps break without warning when data fields appear, disappear or get renamed.</t>
  </si>
  <si>
    <t>AISLE-CON-003</t>
  </si>
  <si>
    <r>
      <rPr>
        <b/>
        <color rgb="FF0F172A"/>
      </rPr>
      <t>The data part of EMAIL, search and free-text-key replies contains exactly the agreed fields</t>
    </r>
    <r>
      <rPr>
        <color rgb="FF334155"/>
      </rPr>
      <t xml:space="preserve">
Saves, reads and bulk reads a fake email, searches it (with and without values), and creates, reads and revokes a free-text key. Checks the field names inside the “data” part of every reply.</t>
    </r>
  </si>
  <si>
    <t>POST /api/v1/pii-test (EMAIL) · …/read · …/batch/read · …/EMAIL/search · …/free-text/keys · …/keys/read · …/keys/revoke</t>
  </si>
  <si>
    <t xml:space="preserve">1. Save, read and bulk read a fake email
2. Search it with values on and off
3. Create, read and revoke a free-text key
4. Compare the field names in each reply’s data with the agreed list</t>
  </si>
  <si>
    <t>Save data: tenant_id, user_id, field, key_version. Read data: tenant_id, user_id, items, count; each item: tenant_id, user_id, field, value. Bulk read data: tenant_id, items, count. Search data: tenant_id, field, matches, count, truncated; matches have the 4 item fields with values on, only user_id with values off. Key data: tenant_id, key_id, key, algorithm, status, created_at; revoke: tenant_id, key_id, status, revoked_at. Seen on 2026-10-01.</t>
  </si>
  <si>
    <t>• Every data part has exactly the listed fields (names only are compared, never values)</t>
  </si>
  <si>
    <t>Apps read these exact fields. A renamed, missing or extra field breaks them, or leaks data nobody asked for.</t>
  </si>
  <si>
    <t>AISLE-DB-012</t>
  </si>
  <si>
    <r>
      <rPr>
        <b/>
        <color rgb="FF0F172A"/>
      </rPr>
      <t>Reading, bulk-reading and searching a fake user’s data leaves the stored records unchanged</t>
    </r>
    <r>
      <rPr>
        <color rgb="FF334155"/>
      </rPr>
      <t xml:space="preserve">
Saves a fake name and a fake email for a new fake user and notes the stored records. Then reads them, bulk-reads them (reads several users in one request) and searches for the email with values on, and looks at the records again.</t>
    </r>
  </si>
  <si>
    <t>POST /api/v1/pii-test (NAME, EMAIL) · POST /api/v1/pii-test/read · POST /api/v1/pii-test/batch/read · POST /api/v1/pii-test/EMAIL/search {"value":"&lt;fake email&gt;","limit":10,"include_values":true} · read-only database queries before and after</t>
  </si>
  <si>
    <t xml:space="preserve">1. Save a fake name and a fake email for a new fake user
2. Note both stored records (as fingerprints only)
3. Read, bulk-read and search for the user’s data
4. Look up the records again and compare</t>
  </si>
  <si>
    <t>Read, bulk read and search each get 200 OK (seen on staging). For both records the encrypted bytes, the nonce (a number used once), the key version and the last-updated time are unchanged. Per the PII-service design; to be confirmed by Dev (question BQ-04).</t>
  </si>
  <si>
    <t xml:space="preserve">• Read, bulk read and search are 200
• Encrypted bytes unchanged
• Nonce unchanged
• Key version unchanged
• Last-updated time unchanged</t>
  </si>
  <si>
    <t>A read must only look. If reading re-wrote records, a simple lookup could damage or re-encrypt data, and the timestamps would no longer show when data really changed.</t>
  </si>
  <si>
    <t>AISLE-DB-014</t>
  </si>
  <si>
    <r>
      <rPr>
        <b/>
        <color rgb="FF0F172A"/>
      </rPr>
      <t>Saving, reading and searching fake data each leave one audit entry with no personal values in it</t>
    </r>
    <r>
      <rPr>
        <color rgb="FF334155"/>
      </rPr>
      <t xml:space="preserve">
Saves a fake email for a new fake user, reads it and searches for it. Then looks up the audit trail (the service’s log of who did what, kept for 7 days) for each of the three requests.</t>
    </r>
  </si>
  <si>
    <t>POST /api/v1/pii-test {"field":"EMAIL",…} · POST /api/v1/pii-test/read · POST /api/v1/pii-test/EMAIL/search {"value":"&lt;fake email&gt;","limit":10,"include_values":false} · read-only audit look-up by request ID</t>
  </si>
  <si>
    <t xml:space="preserve">1. Save a fake email for a new fake user
2. Read it
3. Search for it, with values off (asking for user IDs only)
4. Look up the audit entry of each request by its request ID
5. Search all three entries for the email</t>
  </si>
  <si>
    <t>Save gets 201 Created, read 200 OK and search 200 OK. There is exactly one audit entry per request, with the actions PII_WRITE, PII_READ and PII_SEARCH. Each entry has status SUCCESS and names the EMAIL field. The save and read entries list the fake user. The search entry has a result count of 1 or more. Each entry has a created time and an expiry time 7 days later. The email (as typed and as cleaned up) and the search term appear nowhere in any entry. Per the PII-service design; to be confirmed by Dev (question BQ-30). Also open: whether the request ID QA sends is the one stored in the audit trail.</t>
  </si>
  <si>
    <t xml:space="preserve">• Exactly one audit entry per request
• Actions PII_WRITE, PII_READ and PII_SEARCH
• Status SUCCESS and the EMAIL field on each
• Save and read entries list the fake user; the search entry has a result count of 1 or more
• Each entry expires 7 days after it was created
• The email and the search term appear nowhere</t>
  </si>
  <si>
    <t>DPDP (India’s data-protection law) requires knowing who accessed personal data and when. The audit log itself must not become another copy of that data.</t>
  </si>
  <si>
    <t>AISLE-NRM-005</t>
  </si>
  <si>
    <r>
      <rPr>
        <b/>
        <color rgb="FF0F172A"/>
      </rPr>
      <t>The same accented letter written in two Unicode forms (é as one character, or e + accent mark) is stored and searched as the same text</t>
    </r>
    <r>
      <rPr>
        <color rgb="FF334155"/>
      </rPr>
      <t xml:space="preserve">
Saves an accented letter (é) written in its two Unicode forms (one combined character, or “e” plus a separate accent mark) and checks that saving and searching treat them as the same text.</t>
    </r>
  </si>
  <si>
    <t>Blocked until Dev decides whether both Unicode forms must match (question BQ-36).</t>
  </si>
  <si>
    <t>POST /api/v1/pii-test {"field":"NAME","value":"QA José …"} · POST /api/v1/pii-test/EMAIL/search {"value":"&lt;email with e + accent mark&gt;"}</t>
  </si>
  <si>
    <t xml:space="preserve">1. Save a fake name and a fake email with é written as one character
2. Read and search them using e + accent mark
3. Compare the results</t>
  </si>
  <si>
    <t>Blocked: on 2026-10-01 names were stored exactly as sent (no conversion), and an email saved with é as one character was NOT found when searched with e + accent mark. Dev must decide whether they should match (question BQ-36).</t>
  </si>
  <si>
    <t>• Blocked until Dev decides the Unicode rule</t>
  </si>
  <si>
    <t>Different keyboards and phones produce different forms of the same letter. If they are not treated the same, a person can fail to be found.</t>
  </si>
  <si>
    <t>BQ-36: on 2026-10-01 names were stored as sent (no Unicode normalization) and an email saved with é (one character) was NOT found when searched with e + accent mark; whether they must match is Dev’s decision | BLOCKED (BQ-36): on 2026-10-01 names were stored as sent (no Unicode normalization) and an email saved with é (one character) was NOT found when searched with e + accent mark; whether they must match is Dev’s decision</t>
  </si>
  <si>
    <t>BLOCKED — BQ-36: on 2026-10-01 names were stored as sent (no Unicode normalization) and an email saved with é (one character) was NOT found when searched with e + accent mark; whether they must match is Dev’s decision</t>
  </si>
  <si>
    <t>AISLE-SEC-005</t>
  </si>
  <si>
    <r>
      <rPr>
        <b/>
        <color rgb="FF0F172A"/>
      </rPr>
      <t>PII-service error replies (403, 404, 422) reveal no internal service details</t>
    </r>
    <r>
      <rPr>
        <color rgb="FF334155"/>
      </rPr>
      <t xml:space="preserve">
Triggers three error replies that come from the PII service (unknown field, never-saved user, empty value) and searches each one for signs of the service’s insides.</t>
    </r>
  </si>
  <si>
    <t>POST /api/v1/pii-test {"user_id":"&lt;fake user&gt;","field":"QA_AUTOMATION_UNKNOWN_FIELD","value":"QA Automation User"} · POST /api/v1/pii-test/read {"user_id":"&lt;never-saved fake user&gt;","field_names":["NAME"]} · POST /api/v1/pii-test {"user_id":"&lt;fake user&gt;","field":"NAME","value":""}</t>
  </si>
  <si>
    <t xml:space="preserve">1. Send a save with a made-up field, a read for a never-saved fake user and a save with an empty value
2. Check the three replies have the expected status codes
3. Search each reply for internal details</t>
  </si>
  <si>
    <t>The replies are 403, 404 and 422. None contains a stack trace, an exception name, a private network address, “localhost”, an internal host name such as “pii-service”, a server name with a version (for example nginx or uvicorn) or a database driver name. Whether tenant and key version belong in success replies is a separate open question and is not judged here (question BQ-29).</t>
  </si>
  <si>
    <t xml:space="preserve">• Statuses are 403, 404 and 422, in that order
• No reply contains a stack trace (“Traceback” or “File … line”) or an exception class name
• No reply contains a private IP address, “localhost” or “127.0.0.1”
• No reply contains an internal host name (“pii-service”, “pii_service”)
• No reply contains a server banner (uvicorn, gunicorn, nginx/&lt;version&gt;, Apache/&lt;version&gt;) or a database driver name (sqlalchemy, psycopg, postgres)
• Only the kind of detail and which reply is reported, never the reply text</t>
  </si>
  <si>
    <t>Error replies that show stack traces (the internal code path of a crash), internal addresses, server versions or database names help attackers plan an attack.</t>
  </si>
  <si>
    <t>AISLE-SEC-006</t>
  </si>
  <si>
    <r>
      <rPr>
        <b/>
        <color rgb="FF0F172A"/>
      </rPr>
      <t>Replies that contain personal data (read, bulk read, search with values) tell browsers and proxies not to keep a copy (“no-store”)</t>
    </r>
    <r>
      <rPr>
        <color rgb="FF334155"/>
      </rPr>
      <t xml:space="preserve">
Checks that replies containing personal data (read, bulk read, search with values) carry the header “Cache-Control: no-store” (tells browsers and proxies not to keep a copy).</t>
    </r>
  </si>
  <si>
    <t>Blocked until Dev answers question BQ-39.</t>
  </si>
  <si>
    <t>POST /api/v1/pii-test/read · …/batch/read · …/EMAIL/search {"include_values":true}</t>
  </si>
  <si>
    <t xml:space="preserve">1. Read a fake user’s data
2. Bulk read and search with values
3. Check the Cache-Control header of each reply</t>
  </si>
  <si>
    <t>Each reply carries “no-store”. Blocked: on 2026-10-01 these replies carried “max-age=0, private, must-revalidate” (no “no-store”), while free-text-key replies do carry it. It is not known whether the PII service or the facade sets this header (question BQ-39).</t>
  </si>
  <si>
    <t>• Blocked until Dev says which layer sets the header</t>
  </si>
  <si>
    <t>A cached copy of personal data can be read later by someone else using the same computer or proxy. Note: it is not confirmed whether the PII service or the facade sets this header (question BQ-39).</t>
  </si>
  <si>
    <t>BQ-39: on 2026-10-01 these replies carried "Cache-Control: max-age=0, private, must-revalidate" (no "no-store"), while free-text-key replies carry "no-store"; it is not known whether the PII service or the facade sets this header | BLOCKED (BQ-39): on 2026-10-01 these replies carried "Cache-Control: max-age=0, private, must-revalidate" (no "no-store"), while free-text-key replies carry "no-store"; it is not known whether the PII service or the facade sets this header</t>
  </si>
  <si>
    <t>BLOCKED — BQ-39: on 2026-10-01 these replies carried "Cache-Control: max-age=0, private, must-revalidate" (no "no-store"), while free-text-key replies carry "no-store"; it is not known whether the PII service or the facade sets this header</t>
  </si>
  <si>
    <t>AISLE-TR-009</t>
  </si>
  <si>
    <r>
      <rPr>
        <b/>
        <color rgb="FF0F172A"/>
      </rPr>
      <t>An invalid phone on create, or an invalid user ID on promote, is rejected and nothing is used up</t>
    </r>
    <r>
      <rPr>
        <color rgb="FF334155"/>
      </rPr>
      <t xml:space="preserve">
Creates temporary phones with made-up invalid phones (5 digits, 16 digits, letters), then promotes a valid temporary phone with bad user IDs (empty, a number, null, 129 characters).</t>
    </r>
  </si>
  <si>
    <t>POST /api/v1/pii-test/transient/phones {"phone":"12345","ttl_seconds":900} · …/promote {"transient_id":"&lt;ID&gt;","user_id":""}</t>
  </si>
  <si>
    <t xml:space="preserve">1. Create with each made-up invalid phone
2. Create a temporary phone for approved test phone 1
3. Promote it with each bad user ID
4. Look the temporary phone up again</t>
  </si>
  <si>
    <t>Invalid phones get 400 VALIDATION_ERROR with no data. Each bad user ID gets 422 Unprocessable Entity naming user_id. The temporary phone can still be looked up (200) afterwards. Seen on staging on 2026-10-01.</t>
  </si>
  <si>
    <t xml:space="preserve">• Invalid phones → 400 VALIDATION_ERROR, no data
• Bad user IDs → 422 naming user_id
• Lookup afterwards → 200
• No server error (5xx)</t>
  </si>
  <si>
    <t>Bad input must be refused before anything is stored, and a refused promote must not use up the temporary phone.</t>
  </si>
  <si>
    <t>AISLE-WR-018</t>
  </si>
  <si>
    <r>
      <rPr>
        <b/>
        <color rgb="FF0F172A"/>
      </rPr>
      <t>Field names are not case-sensitive: “name” and “Email” are saved as NAME and EMAIL and can be read and bulk read in any case</t>
    </r>
    <r>
      <rPr>
        <color rgb="FF334155"/>
      </rPr>
      <t xml:space="preserve">
Saves a fake name using the field name “name” in small letters, reads it with “name”, bulk reads it with “name”, and saves a fake email using “Email”.</t>
    </r>
  </si>
  <si>
    <t>POST /api/v1/pii-test {"user_id":"&lt;new fake user&gt;","field":"name","value":"QA Automation User &lt;letters&gt;"} · POST /api/v1/pii-test/read {"user_id":"&lt;same user&gt;","field_names":["name"]}</t>
  </si>
  <si>
    <t xml:space="preserve">1. Save a fake name with field “name”
2. Read and bulk read with field “name”
3. Save a fake email with field “Email” for another fake user</t>
  </si>
  <si>
    <t>The saves are 201 Created and the replies show the field as NAME and EMAIL. The read and bulk read with “name” return the saved name. Seen on 2026-10-01.</t>
  </si>
  <si>
    <t xml:space="preserve">• Saves are 201 with field NAME / EMAIL in the reply
• Read and bulk read with “name” return the fake name</t>
  </si>
  <si>
    <t>Callers may not write field names in capitals. The data must still land in the right field and be found again. Note: it is not confirmed whether the PII service or the facade turns the field name into capitals (question BQ-44).</t>
  </si>
  <si>
    <t>AISLE-WR-028</t>
  </si>
  <si>
    <r>
      <rPr>
        <b/>
        <color rgb="FF0F172A"/>
      </rPr>
      <t>A phone next to a name and an email: replacing the phone, reading all three fields and bulk reading the phone</t>
    </r>
    <r>
      <rPr>
        <color rgb="FF334155"/>
      </rPr>
      <t xml:space="preserve">
For one new fake user, saves a fake name, a fake email and approved test phone 1, replaces the phone with approved test phone 2, then reads all three fields and bulk reads the phone.</t>
    </r>
  </si>
  <si>
    <t>POST /api/v1/pii-test {"field":"PHONE","value":"&lt;approved test phone 1&gt;"} · {… "value":"&lt;approved test phone 2&gt;"} · POST /api/v1/pii-test/read {"field_names":["NAME","EMAIL","PHONE"]} · POST /api/v1/pii-test/batch/read {"fields":["PHONE"]}</t>
  </si>
  <si>
    <t xml:space="preserve">1. Save a fake name and a fake email for a new fake user
2. Save approved test phone 1, then replace it with approved test phone 2
3. Read NAME, EMAIL and PHONE together
4. Bulk read the PHONE</t>
  </si>
  <si>
    <t>The first phone save is 201 Created and the replace 200 OK. The read returns count 3 with the name, the email and phone 2 (digits only). The bulk read returns phone 2. Seen on staging on 2026-10-01.</t>
  </si>
  <si>
    <t xml:space="preserve">• Phone save 201, replace 200
• Read count 3 with the right name, email and phone 2
• Bulk read returns phone 2</t>
  </si>
  <si>
    <t>Phones must behave like the other personal fields: a replace must win and must not disturb the other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</si>
</sst>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color theme="1"/>
      <family val="2"/>
      <scheme val="minor"/>
      <sz val="11"/>
      <name val="Calibri"/>
    </font>
    <font>
      <b/>
      <color rgb="FFFFFFFF"/>
      <sz val="18"/>
    </font>
    <font>
      <b/>
      <color rgb="FFFFFFFF"/>
      <sz val="11"/>
    </font>
    <font>
      <b/>
      <color rgb="FF1E3A8A"/>
      <sz val="12"/>
    </font>
    <font>
      <b/>
      <color rgb="FF006100"/>
      <sz val="12"/>
    </font>
    <font>
      <b/>
      <color rgb="FF9C0006"/>
      <sz val="12"/>
    </font>
    <font>
      <b/>
      <color rgb="FF6B1D5E"/>
      <sz val="12"/>
    </font>
    <font>
      <b/>
      <color rgb="FF9C5700"/>
      <sz val="12"/>
    </font>
    <font>
      <b/>
      <color rgb="FF285E61"/>
      <sz val="12"/>
    </font>
    <font>
      <b/>
      <color rgb="FF4B5563"/>
      <sz val="12"/>
    </font>
    <font>
      <b/>
      <color rgb="FFFFFFFF"/>
      <sz val="12"/>
    </font>
    <font>
      <b/>
      <color rgb="FFFFFFFF"/>
    </font>
    <font>
      <b/>
      <u/>
      <color rgb="FF1D4ED8"/>
    </font>
    <font>
      <color rgb="FF64748B"/>
      <sz val="9"/>
      <name val="Menlo"/>
    </font>
    <font>
      <b/>
      <color rgb="FF006100"/>
    </font>
    <font>
      <b/>
      <color rgb="FF64748B"/>
    </font>
    <font>
      <color rgb="FF64748B"/>
    </font>
    <font>
      <color rgb="FF4B5563"/>
    </font>
    <font>
      <u/>
      <color rgb="FF1D4ED8"/>
    </font>
    <font>
      <b/>
      <color rgb="FF9C5700"/>
    </font>
    <font>
      <b/>
      <color rgb="FFFFFFFF"/>
      <sz val="13"/>
    </font>
    <font>
      <b/>
      <u/>
      <color rgb="FFFFFFFF"/>
    </font>
    <font>
      <i/>
      <color rgb="FF1E3A8A"/>
      <sz val="10"/>
    </font>
    <font>
      <b/>
      <sz val="10"/>
      <name val="Menlo"/>
    </font>
    <font>
      <color rgb="FF334155"/>
    </font>
    <font>
      <color rgb="FF334155"/>
      <sz val="9"/>
      <name val="Menlo"/>
    </font>
    <font>
      <b/>
      <color rgb="FF334155"/>
    </font>
    <font>
      <color rgb="FF0F172A"/>
      <sz val="9"/>
      <name val="Menlo"/>
    </font>
    <font>
      <b/>
      <color rgb="FF6D28D9"/>
    </font>
    <font>
      <b/>
      <color rgb="FFC2410C"/>
    </font>
    <font>
      <i/>
      <color rgb="FF64748B"/>
    </font>
    <font>
      <color rgb="FF1D4ED8"/>
    </font>
    <font>
      <b/>
      <color rgb="FFB91C1C"/>
    </font>
    <font>
      <color rgb="FF9C5700"/>
    </font>
    <font>
      <color rgb="FF6B7280"/>
    </font>
  </fonts>
  <fills count="14">
    <fill>
      <patternFill patternType="none"/>
    </fill>
    <fill>
      <patternFill patternType="gray125"/>
    </fill>
    <fill>
      <patternFill patternType="solid">
        <fgColor rgb="FF1E293B"/>
      </patternFill>
    </fill>
    <fill>
      <patternFill patternType="solid">
        <fgColor rgb="FF334155"/>
      </patternFill>
    </fill>
    <fill>
      <patternFill patternType="solid">
        <fgColor rgb="FFDBEAFE"/>
      </patternFill>
    </fill>
    <fill>
      <patternFill patternType="solid">
        <fgColor rgb="FFC6EFCE"/>
      </patternFill>
    </fill>
    <fill>
      <patternFill patternType="solid">
        <fgColor rgb="FFFFC7CE"/>
      </patternFill>
    </fill>
    <fill>
      <patternFill patternType="solid">
        <fgColor rgb="FFEBD5F5"/>
      </patternFill>
    </fill>
    <fill>
      <patternFill patternType="solid">
        <fgColor rgb="FFFFEB9C"/>
      </patternFill>
    </fill>
    <fill>
      <patternFill patternType="solid">
        <fgColor rgb="FFD5EEEC"/>
      </patternFill>
    </fill>
    <fill>
      <patternFill patternType="solid">
        <fgColor rgb="FFE5E7EB"/>
      </patternFill>
    </fill>
    <fill>
      <patternFill patternType="solid">
        <fgColor rgb="FF1E3A8A"/>
      </patternFill>
    </fill>
    <fill>
      <patternFill patternType="solid">
        <fgColor rgb="FF475569"/>
      </patternFill>
    </fill>
    <fill>
      <patternFill patternType="solid">
        <fgColor rgb="FFF8FAFC"/>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67">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0" fillId="11" borderId="0" xfId="0" applyFont="1" applyFill="1" applyAlignment="1">
      <alignment horizontal="left" vertical="center" indent="1"/>
    </xf>
    <xf numFmtId="0" fontId="11" fillId="12" borderId="1" xfId="0" applyFont="1" applyFill="1" applyBorder="1" applyAlignment="1">
      <alignment horizontal="center" vertical="center" wrapText="1"/>
    </xf>
    <xf numFmtId="0" fontId="0" fillId="0" borderId="1" xfId="0"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0" fillId="13" borderId="1" xfId="0" applyFill="1" applyBorder="1" applyAlignment="1">
      <alignment horizontal="center" vertical="center"/>
    </xf>
    <xf numFmtId="0" fontId="12" fillId="13" borderId="1" xfId="0" applyFont="1" applyFill="1" applyBorder="1" applyAlignment="1">
      <alignment horizontal="center" vertical="center"/>
    </xf>
    <xf numFmtId="0" fontId="13" fillId="13" borderId="1" xfId="0" applyFont="1" applyFill="1" applyBorder="1" applyAlignment="1">
      <alignment horizontal="center" vertical="center"/>
    </xf>
    <xf numFmtId="0" fontId="14" fillId="13" borderId="1" xfId="0" applyFont="1" applyFill="1" applyBorder="1" applyAlignment="1">
      <alignment horizontal="center" vertical="center"/>
    </xf>
    <xf numFmtId="0" fontId="15" fillId="13" borderId="1" xfId="0" applyFont="1" applyFill="1" applyBorder="1" applyAlignment="1">
      <alignment horizontal="center" vertical="center"/>
    </xf>
    <xf numFmtId="0" fontId="19" fillId="13" borderId="1" xfId="0" applyFont="1" applyFill="1" applyBorder="1" applyAlignment="1">
      <alignment horizontal="center" vertical="center"/>
    </xf>
    <xf numFmtId="0" fontId="16" fillId="13" borderId="1" xfId="0" applyFont="1" applyFill="1" applyBorder="1" applyAlignment="1">
      <alignment horizontal="center" vertical="center"/>
    </xf>
    <xf numFmtId="0" fontId="17" fillId="13" borderId="1" xfId="0" applyFont="1" applyFill="1" applyBorder="1" applyAlignment="1">
      <alignment horizontal="center" vertical="center"/>
    </xf>
    <xf numFmtId="0" fontId="18" fillId="13" borderId="1" xfId="0" applyFont="1" applyFill="1" applyBorder="1" applyAlignment="1">
      <alignment horizontal="center" vertical="center"/>
    </xf>
    <xf numFmtId="0" fontId="19" fillId="0" borderId="1" xfId="0" applyFont="1" applyBorder="1" applyAlignment="1">
      <alignment horizontal="center" vertical="center"/>
    </xf>
    <xf numFmtId="0" fontId="20" fillId="11" borderId="0" xfId="0" applyFont="1" applyFill="1" applyAlignment="1">
      <alignment vertical="center" indent="1"/>
    </xf>
    <xf numFmtId="0" fontId="21" fillId="11" borderId="0" xfId="0" applyFont="1" applyFill="1" applyAlignment="1">
      <alignment horizontal="center" vertical="center"/>
    </xf>
    <xf numFmtId="0" fontId="22" fillId="4" borderId="0" xfId="0" applyFont="1" applyFill="1" applyAlignment="1">
      <alignment horizontal="left" vertical="center" indent="1"/>
    </xf>
    <xf numFmtId="0" fontId="0" fillId="0" borderId="1" xfId="0" applyBorder="1" applyAlignment="1">
      <alignment horizontal="center" vertical="top" wrapText="1"/>
    </xf>
    <xf numFmtId="0" fontId="23" fillId="0" borderId="1" xfId="0" applyFont="1" applyBorder="1" applyAlignment="1">
      <alignment horizontal="left" vertical="top" wrapText="1"/>
    </xf>
    <xf numFmtId="0" fontId="0" fillId="0" borderId="1" xfId="0" applyBorder="1" applyAlignment="1">
      <alignment horizontal="left" vertical="top" wrapText="1"/>
    </xf>
    <xf numFmtId="0" fontId="24" fillId="0" borderId="1" xfId="0" applyFont="1" applyBorder="1" applyAlignment="1">
      <alignment horizontal="left" vertical="top" wrapText="1"/>
    </xf>
    <xf numFmtId="0" fontId="25" fillId="0" borderId="1" xfId="0" applyFont="1" applyBorder="1" applyAlignment="1">
      <alignment horizontal="left" vertical="top" wrapText="1"/>
    </xf>
    <xf numFmtId="0" fontId="26" fillId="0" borderId="1" xfId="0" applyFont="1" applyBorder="1" applyAlignment="1">
      <alignment horizontal="center" vertical="top" wrapText="1"/>
    </xf>
    <xf numFmtId="0" fontId="27" fillId="0" borderId="1" xfId="0" applyFont="1" applyBorder="1" applyAlignment="1">
      <alignment horizontal="left" vertical="top" wrapText="1"/>
    </xf>
    <xf numFmtId="0" fontId="28" fillId="0" borderId="1" xfId="0" applyFont="1" applyBorder="1" applyAlignment="1">
      <alignment horizontal="center" vertical="top" wrapText="1"/>
    </xf>
    <xf numFmtId="0" fontId="29" fillId="0" borderId="1" xfId="0" applyFont="1" applyBorder="1" applyAlignment="1">
      <alignment horizontal="center" vertical="top" wrapText="1"/>
    </xf>
    <xf numFmtId="0" fontId="14" fillId="5" borderId="1" xfId="0" applyFont="1" applyFill="1" applyBorder="1" applyAlignment="1">
      <alignment horizontal="center" vertical="top" wrapText="1"/>
    </xf>
    <xf numFmtId="0" fontId="16" fillId="0" borderId="1" xfId="0" applyFont="1" applyBorder="1" applyAlignment="1">
      <alignment horizontal="left" vertical="top" wrapText="1"/>
    </xf>
    <xf numFmtId="0" fontId="30" fillId="0" borderId="1" xfId="0" applyFont="1" applyBorder="1" applyAlignment="1">
      <alignment horizontal="left" vertical="top" wrapText="1"/>
    </xf>
    <xf numFmtId="0" fontId="16" fillId="0" borderId="1" xfId="0" applyFont="1" applyBorder="1" applyAlignment="1">
      <alignment horizontal="center" vertical="top" wrapText="1"/>
    </xf>
    <xf numFmtId="0" fontId="31" fillId="0" borderId="1" xfId="0" applyFont="1" applyBorder="1" applyAlignment="1">
      <alignment horizontal="center" vertical="top" wrapText="1"/>
    </xf>
    <xf numFmtId="0" fontId="0" fillId="13" borderId="1" xfId="0" applyFill="1" applyBorder="1" applyAlignment="1">
      <alignment horizontal="center" vertical="top" wrapText="1"/>
    </xf>
    <xf numFmtId="0" fontId="23" fillId="13" borderId="1" xfId="0" applyFont="1" applyFill="1" applyBorder="1" applyAlignment="1">
      <alignment horizontal="left" vertical="top" wrapText="1"/>
    </xf>
    <xf numFmtId="0" fontId="0" fillId="13" borderId="1" xfId="0" applyFill="1" applyBorder="1" applyAlignment="1">
      <alignment horizontal="left" vertical="top" wrapText="1"/>
    </xf>
    <xf numFmtId="0" fontId="24" fillId="13" borderId="1" xfId="0" applyFont="1" applyFill="1" applyBorder="1" applyAlignment="1">
      <alignment horizontal="left" vertical="top" wrapText="1"/>
    </xf>
    <xf numFmtId="0" fontId="25" fillId="13" borderId="1" xfId="0" applyFont="1" applyFill="1" applyBorder="1" applyAlignment="1">
      <alignment horizontal="left" vertical="top" wrapText="1"/>
    </xf>
    <xf numFmtId="0" fontId="26" fillId="13" borderId="1" xfId="0" applyFont="1" applyFill="1" applyBorder="1" applyAlignment="1">
      <alignment horizontal="center" vertical="top" wrapText="1"/>
    </xf>
    <xf numFmtId="0" fontId="27" fillId="13" borderId="1" xfId="0" applyFont="1" applyFill="1" applyBorder="1" applyAlignment="1">
      <alignment horizontal="left" vertical="top" wrapText="1"/>
    </xf>
    <xf numFmtId="0" fontId="16" fillId="13" borderId="1" xfId="0" applyFont="1" applyFill="1" applyBorder="1" applyAlignment="1">
      <alignment horizontal="center" vertical="top" wrapText="1"/>
    </xf>
    <xf numFmtId="0" fontId="32" fillId="13" borderId="1" xfId="0" applyFont="1" applyFill="1" applyBorder="1" applyAlignment="1">
      <alignment horizontal="center" vertical="top" wrapText="1"/>
    </xf>
    <xf numFmtId="0" fontId="19" fillId="8" borderId="1" xfId="0" applyFont="1" applyFill="1" applyBorder="1" applyAlignment="1">
      <alignment horizontal="center" vertical="top" wrapText="1"/>
    </xf>
    <xf numFmtId="0" fontId="33" fillId="13" borderId="1" xfId="0" applyFont="1" applyFill="1" applyBorder="1" applyAlignment="1">
      <alignment horizontal="left" vertical="top" wrapText="1"/>
    </xf>
    <xf numFmtId="0" fontId="33" fillId="0" borderId="1" xfId="0" applyFont="1" applyBorder="1" applyAlignment="1">
      <alignment horizontal="left" vertical="top" wrapText="1"/>
    </xf>
    <xf numFmtId="0" fontId="29" fillId="13" borderId="1" xfId="0" applyFont="1" applyFill="1" applyBorder="1" applyAlignment="1">
      <alignment horizontal="center" vertical="top" wrapText="1"/>
    </xf>
    <xf numFmtId="0" fontId="31" fillId="13" borderId="1" xfId="0" applyFont="1" applyFill="1" applyBorder="1" applyAlignment="1">
      <alignment horizontal="center" vertical="top" wrapText="1"/>
    </xf>
    <xf numFmtId="0" fontId="16" fillId="13" borderId="1" xfId="0" applyFont="1" applyFill="1" applyBorder="1" applyAlignment="1">
      <alignment horizontal="left" vertical="top" wrapText="1"/>
    </xf>
    <xf numFmtId="0" fontId="30" fillId="13" borderId="1" xfId="0" applyFont="1" applyFill="1" applyBorder="1" applyAlignment="1">
      <alignment horizontal="left" vertical="top" wrapText="1"/>
    </xf>
    <xf numFmtId="0" fontId="28" fillId="13" borderId="1" xfId="0" applyFont="1" applyFill="1" applyBorder="1" applyAlignment="1">
      <alignment horizontal="center" vertical="top" wrapText="1"/>
    </xf>
    <xf numFmtId="0" fontId="32" fillId="0" borderId="1" xfId="0" applyFont="1" applyBorder="1" applyAlignment="1">
      <alignment horizontal="center" vertical="top" wrapText="1"/>
    </xf>
    <xf numFmtId="0" fontId="34" fillId="13" borderId="1" xfId="0" applyFont="1" applyFill="1" applyBorder="1" applyAlignment="1">
      <alignment horizontal="center" vertical="top" wrapText="1"/>
    </xf>
    <xf numFmtId="0" fontId="34"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6"/>
  <sheetViews>
    <sheetView workbookViewId="0" showGridLines="0">
      <pane ySplit="3" topLeftCell="A4" activePane="bottomLeft" state="frozen"/>
      <selection pane="bottomLeft"/>
    </sheetView>
  </sheetViews>
  <sheetFormatPr defaultRowHeight="15" outlineLevelRow="0" outlineLevelCol="0" x14ac:dyDescent="55"/>
  <cols>
    <col min="1" max="1" width="6" customWidth="1"/>
    <col min="2" max="2" width="15" customWidth="1"/>
    <col min="3" max="3" width="38" customWidth="1"/>
    <col min="4" max="4" width="15" customWidth="1"/>
    <col min="5" max="5" width="24" customWidth="1"/>
    <col min="7" max="7" width="24" customWidth="1"/>
    <col min="8" max="8" width="42" customWidth="1"/>
    <col min="9" max="9" width="40" customWidth="1"/>
    <col min="10" max="10" width="36" customWidth="1"/>
    <col min="11" max="11" width="38" customWidth="1"/>
    <col min="12" max="12" width="32" customWidth="1"/>
    <col min="13" max="14" width="11" customWidth="1"/>
    <col min="15" max="15" width="10" customWidth="1"/>
    <col min="16" max="16" width="17" customWidth="1"/>
    <col min="17" max="17" width="30" customWidth="1"/>
    <col min="18" max="18" width="32" customWidth="1"/>
    <col min="19" max="19" width="26" customWidth="1"/>
  </cols>
  <sheetData>
    <row r="1" ht="34" customHeight="1" spans="1:19" x14ac:dyDescent="0.25">
      <c r="A1" s="1" t="s">
        <v>0</v>
      </c>
      <c r="B1" s="1"/>
      <c r="C1" s="1"/>
      <c r="D1" s="1"/>
      <c r="E1" s="1"/>
      <c r="F1" s="1"/>
      <c r="G1" s="1"/>
      <c r="H1" s="1"/>
      <c r="I1" s="1"/>
      <c r="J1" s="1"/>
      <c r="K1" s="1"/>
      <c r="L1" s="1"/>
      <c r="M1" s="1"/>
      <c r="N1" s="1"/>
      <c r="O1" s="1"/>
      <c r="P1" s="1"/>
      <c r="Q1" s="1"/>
      <c r="R1" s="1"/>
      <c r="S1" s="1"/>
    </row>
    <row r="2" ht="22" customHeight="1" spans="1:19" x14ac:dyDescent="0.25">
      <c r="A2" s="2" t="s">
        <v>1</v>
      </c>
      <c r="B2" s="2"/>
      <c r="C2" s="2"/>
      <c r="D2" s="2"/>
      <c r="E2" s="2"/>
      <c r="F2" s="2"/>
      <c r="G2" s="2"/>
      <c r="H2" s="2"/>
      <c r="I2" s="2"/>
      <c r="J2" s="2"/>
      <c r="K2" s="2"/>
      <c r="L2" s="2"/>
      <c r="M2" s="2"/>
      <c r="N2" s="2"/>
      <c r="O2" s="2"/>
      <c r="P2" s="2"/>
      <c r="Q2" s="2"/>
      <c r="R2" s="2"/>
      <c r="S2" s="2"/>
    </row>
    <row r="3" ht="32" customHeight="1" spans="1:19" x14ac:dyDescent="0.25">
      <c r="A3" s="3" t="s">
        <v>2</v>
      </c>
      <c r="B3" s="3"/>
      <c r="C3" s="3"/>
      <c r="D3" s="4" t="s">
        <v>3</v>
      </c>
      <c r="E3" s="4"/>
      <c r="F3" s="5" t="s">
        <v>4</v>
      </c>
      <c r="G3" s="6" t="s">
        <v>5</v>
      </c>
      <c r="H3" s="7" t="s">
        <v>6</v>
      </c>
      <c r="I3" s="8" t="s">
        <v>7</v>
      </c>
      <c r="J3" s="9" t="s">
        <v>8</v>
      </c>
      <c r="K3" s="9"/>
      <c r="L3" s="3" t="s">
        <v>9</v>
      </c>
      <c r="M3" s="3"/>
      <c r="N3" s="3"/>
      <c r="O3" s="3"/>
      <c r="P3" s="3"/>
      <c r="Q3" s="3"/>
      <c r="R3" s="3"/>
      <c r="S3" s="3"/>
    </row>
    <row r="5" ht="24" customHeight="1" spans="1:19" x14ac:dyDescent="0.25">
      <c r="A5" s="10" t="s">
        <v>10</v>
      </c>
      <c r="B5" s="10"/>
      <c r="C5" s="10"/>
      <c r="D5" s="10"/>
      <c r="E5" s="10"/>
      <c r="F5" s="10"/>
      <c r="G5" s="10"/>
      <c r="H5" s="10"/>
      <c r="I5" s="10"/>
      <c r="J5" s="10"/>
      <c r="K5" s="10"/>
      <c r="L5" s="10"/>
      <c r="M5" s="10"/>
      <c r="N5" s="10"/>
      <c r="O5" s="10"/>
      <c r="P5" s="10"/>
      <c r="Q5" s="10"/>
      <c r="R5" s="10"/>
      <c r="S5" s="10"/>
    </row>
    <row r="6" ht="32" customHeight="1" spans="1:19" x14ac:dyDescent="0.25">
      <c r="A6" s="11" t="s">
        <v>11</v>
      </c>
      <c r="B6" s="11" t="s">
        <v>12</v>
      </c>
      <c r="C6" s="11"/>
      <c r="D6" s="11" t="s">
        <v>13</v>
      </c>
      <c r="E6" s="11"/>
      <c r="F6" s="11"/>
      <c r="G6" s="11" t="s">
        <v>14</v>
      </c>
      <c r="H6" s="11" t="s">
        <v>15</v>
      </c>
      <c r="I6" s="11" t="s">
        <v>16</v>
      </c>
      <c r="J6" s="11" t="s">
        <v>17</v>
      </c>
      <c r="K6" s="11" t="s">
        <v>18</v>
      </c>
      <c r="L6" s="11" t="s">
        <v>19</v>
      </c>
      <c r="M6" s="11" t="s">
        <v>20</v>
      </c>
      <c r="N6" s="11"/>
      <c r="O6" s="11" t="s">
        <v>21</v>
      </c>
      <c r="P6" s="11"/>
      <c r="Q6" s="11" t="s">
        <v>22</v>
      </c>
      <c r="R6" s="11"/>
      <c r="S6" s="11"/>
    </row>
    <row r="7" ht="20" customHeight="1" spans="1:19" x14ac:dyDescent="0.25">
      <c r="A7" s="12">
        <v>1</v>
      </c>
      <c r="B7" s="13" t="str">
        <f>HYPERLINK("#'Test Cases'!A21","Health check")</f>
        <v>Health check</v>
      </c>
      <c r="C7" s="13"/>
      <c r="D7" s="14" t="s">
        <v>23</v>
      </c>
      <c r="E7" s="14"/>
      <c r="F7" s="14"/>
      <c r="G7" s="12">
        <v>1</v>
      </c>
      <c r="H7" s="15">
        <v>1</v>
      </c>
      <c r="I7" s="16">
        <v>0</v>
      </c>
      <c r="J7" s="16">
        <v>0</v>
      </c>
      <c r="K7" s="17">
        <v>0</v>
      </c>
      <c r="L7" s="17">
        <v>0</v>
      </c>
      <c r="M7" s="18">
        <v>0</v>
      </c>
      <c r="N7" s="18"/>
      <c r="O7" s="12" t="s">
        <v>24</v>
      </c>
      <c r="P7" s="12"/>
      <c r="Q7" s="19" t="str">
        <f>HYPERLINK("#'Test Cases'!A21","Section 1 →")</f>
        <v>Section 1 →</v>
      </c>
      <c r="R7" s="19"/>
      <c r="S7" s="19"/>
    </row>
    <row r="8" ht="20" customHeight="1" spans="1:19" x14ac:dyDescent="0.25">
      <c r="A8" s="20">
        <v>2</v>
      </c>
      <c r="B8" s="21" t="str">
        <f>HYPERLINK("#'Test Cases'!A26","Save PII")</f>
        <v>Save PII</v>
      </c>
      <c r="C8" s="21"/>
      <c r="D8" s="22" t="s">
        <v>25</v>
      </c>
      <c r="E8" s="22"/>
      <c r="F8" s="22"/>
      <c r="G8" s="20">
        <v>43</v>
      </c>
      <c r="H8" s="23">
        <v>31</v>
      </c>
      <c r="I8" s="24">
        <v>0</v>
      </c>
      <c r="J8" s="24">
        <v>0</v>
      </c>
      <c r="K8" s="25">
        <v>12</v>
      </c>
      <c r="L8" s="26">
        <v>0</v>
      </c>
      <c r="M8" s="27">
        <v>0</v>
      </c>
      <c r="N8" s="27"/>
      <c r="O8" s="20" t="s">
        <v>24</v>
      </c>
      <c r="P8" s="20"/>
      <c r="Q8" s="28" t="str">
        <f>HYPERLINK("#'Test Cases'!A26","Section 2 →")</f>
        <v>Section 2 →</v>
      </c>
      <c r="R8" s="28"/>
      <c r="S8" s="28"/>
    </row>
    <row r="9" ht="20" customHeight="1" spans="1:19" x14ac:dyDescent="0.25">
      <c r="A9" s="12">
        <v>3</v>
      </c>
      <c r="B9" s="13" t="str">
        <f>HYPERLINK("#'Test Cases'!A73","Read PII")</f>
        <v>Read PII</v>
      </c>
      <c r="C9" s="13"/>
      <c r="D9" s="14" t="s">
        <v>26</v>
      </c>
      <c r="E9" s="14"/>
      <c r="F9" s="14"/>
      <c r="G9" s="12">
        <v>10</v>
      </c>
      <c r="H9" s="15">
        <v>10</v>
      </c>
      <c r="I9" s="16">
        <v>0</v>
      </c>
      <c r="J9" s="16">
        <v>0</v>
      </c>
      <c r="K9" s="17">
        <v>0</v>
      </c>
      <c r="L9" s="17">
        <v>0</v>
      </c>
      <c r="M9" s="18">
        <v>0</v>
      </c>
      <c r="N9" s="18"/>
      <c r="O9" s="12" t="s">
        <v>24</v>
      </c>
      <c r="P9" s="12"/>
      <c r="Q9" s="19" t="str">
        <f>HYPERLINK("#'Test Cases'!A73","Section 3 →")</f>
        <v>Section 3 →</v>
      </c>
      <c r="R9" s="19"/>
      <c r="S9" s="19"/>
    </row>
    <row r="10" ht="20" customHeight="1" spans="1:19" x14ac:dyDescent="0.25">
      <c r="A10" s="20">
        <v>4</v>
      </c>
      <c r="B10" s="21" t="str">
        <f>HYPERLINK("#'Test Cases'!A87","Search PII")</f>
        <v>Search PII</v>
      </c>
      <c r="C10" s="21"/>
      <c r="D10" s="22" t="s">
        <v>27</v>
      </c>
      <c r="E10" s="22"/>
      <c r="F10" s="22"/>
      <c r="G10" s="20">
        <v>15</v>
      </c>
      <c r="H10" s="23">
        <v>14</v>
      </c>
      <c r="I10" s="24">
        <v>0</v>
      </c>
      <c r="J10" s="24">
        <v>0</v>
      </c>
      <c r="K10" s="25">
        <v>1</v>
      </c>
      <c r="L10" s="26">
        <v>0</v>
      </c>
      <c r="M10" s="27">
        <v>0</v>
      </c>
      <c r="N10" s="27"/>
      <c r="O10" s="20" t="s">
        <v>24</v>
      </c>
      <c r="P10" s="20"/>
      <c r="Q10" s="28" t="str">
        <f>HYPERLINK("#'Test Cases'!A87","Section 4 →")</f>
        <v>Section 4 →</v>
      </c>
      <c r="R10" s="28"/>
      <c r="S10" s="28"/>
    </row>
    <row r="11" ht="20" customHeight="1" spans="1:19" x14ac:dyDescent="0.25">
      <c r="A11" s="12">
        <v>5</v>
      </c>
      <c r="B11" s="13" t="str">
        <f>HYPERLINK("#'Test Cases'!A106","Bulk read PII")</f>
        <v>Bulk read PII</v>
      </c>
      <c r="C11" s="13"/>
      <c r="D11" s="14" t="s">
        <v>28</v>
      </c>
      <c r="E11" s="14"/>
      <c r="F11" s="14"/>
      <c r="G11" s="12">
        <v>12</v>
      </c>
      <c r="H11" s="15">
        <v>11</v>
      </c>
      <c r="I11" s="16">
        <v>0</v>
      </c>
      <c r="J11" s="16">
        <v>0</v>
      </c>
      <c r="K11" s="29">
        <v>1</v>
      </c>
      <c r="L11" s="17">
        <v>0</v>
      </c>
      <c r="M11" s="18">
        <v>0</v>
      </c>
      <c r="N11" s="18"/>
      <c r="O11" s="12" t="s">
        <v>24</v>
      </c>
      <c r="P11" s="12"/>
      <c r="Q11" s="19" t="str">
        <f>HYPERLINK("#'Test Cases'!A106","Section 5 →")</f>
        <v>Section 5 →</v>
      </c>
      <c r="R11" s="19"/>
      <c r="S11" s="19"/>
    </row>
    <row r="12" ht="20" customHeight="1" spans="1:19" x14ac:dyDescent="0.25">
      <c r="A12" s="20">
        <v>6</v>
      </c>
      <c r="B12" s="21" t="str">
        <f>HYPERLINK("#'Test Cases'!A122","Create temporary phone")</f>
        <v>Create temporary phone</v>
      </c>
      <c r="C12" s="21"/>
      <c r="D12" s="22" t="s">
        <v>29</v>
      </c>
      <c r="E12" s="22"/>
      <c r="F12" s="22"/>
      <c r="G12" s="20">
        <v>2</v>
      </c>
      <c r="H12" s="23">
        <v>2</v>
      </c>
      <c r="I12" s="24">
        <v>0</v>
      </c>
      <c r="J12" s="24">
        <v>0</v>
      </c>
      <c r="K12" s="26">
        <v>0</v>
      </c>
      <c r="L12" s="26">
        <v>0</v>
      </c>
      <c r="M12" s="27">
        <v>0</v>
      </c>
      <c r="N12" s="27"/>
      <c r="O12" s="20" t="s">
        <v>24</v>
      </c>
      <c r="P12" s="20"/>
      <c r="Q12" s="28" t="str">
        <f>HYPERLINK("#'Test Cases'!A122","Section 6 →")</f>
        <v>Section 6 →</v>
      </c>
      <c r="R12" s="28"/>
      <c r="S12" s="28"/>
    </row>
    <row r="13" ht="20" customHeight="1" spans="1:19" x14ac:dyDescent="0.25">
      <c r="A13" s="12">
        <v>7</v>
      </c>
      <c r="B13" s="13" t="str">
        <f>HYPERLINK("#'Test Cases'!A128","Look up temporary phone")</f>
        <v>Look up temporary phone</v>
      </c>
      <c r="C13" s="13"/>
      <c r="D13" s="14" t="s">
        <v>30</v>
      </c>
      <c r="E13" s="14"/>
      <c r="F13" s="14"/>
      <c r="G13" s="12">
        <v>3</v>
      </c>
      <c r="H13" s="15">
        <v>3</v>
      </c>
      <c r="I13" s="16">
        <v>0</v>
      </c>
      <c r="J13" s="16">
        <v>0</v>
      </c>
      <c r="K13" s="17">
        <v>0</v>
      </c>
      <c r="L13" s="17">
        <v>0</v>
      </c>
      <c r="M13" s="18">
        <v>0</v>
      </c>
      <c r="N13" s="18"/>
      <c r="O13" s="12" t="s">
        <v>24</v>
      </c>
      <c r="P13" s="12"/>
      <c r="Q13" s="19" t="str">
        <f>HYPERLINK("#'Test Cases'!A128","Section 7 →")</f>
        <v>Section 7 →</v>
      </c>
      <c r="R13" s="19"/>
      <c r="S13" s="19"/>
    </row>
    <row r="14" ht="20" customHeight="1" spans="1:19" x14ac:dyDescent="0.25">
      <c r="A14" s="20">
        <v>8</v>
      </c>
      <c r="B14" s="21" t="str">
        <f>HYPERLINK("#'Test Cases'!A135","Promote temporary phone")</f>
        <v>Promote temporary phone</v>
      </c>
      <c r="C14" s="21"/>
      <c r="D14" s="22" t="s">
        <v>31</v>
      </c>
      <c r="E14" s="22"/>
      <c r="F14" s="22"/>
      <c r="G14" s="20">
        <v>4</v>
      </c>
      <c r="H14" s="23">
        <v>3</v>
      </c>
      <c r="I14" s="24">
        <v>0</v>
      </c>
      <c r="J14" s="24">
        <v>0</v>
      </c>
      <c r="K14" s="25">
        <v>1</v>
      </c>
      <c r="L14" s="26">
        <v>0</v>
      </c>
      <c r="M14" s="27">
        <v>0</v>
      </c>
      <c r="N14" s="27"/>
      <c r="O14" s="20" t="s">
        <v>24</v>
      </c>
      <c r="P14" s="20"/>
      <c r="Q14" s="28" t="str">
        <f>HYPERLINK("#'Test Cases'!A135","Section 8 →")</f>
        <v>Section 8 →</v>
      </c>
      <c r="R14" s="28"/>
      <c r="S14" s="28"/>
    </row>
    <row r="15" ht="20" customHeight="1" spans="1:19" x14ac:dyDescent="0.25">
      <c r="A15" s="12">
        <v>9</v>
      </c>
      <c r="B15" s="13" t="str">
        <f>HYPERLINK("#'Test Cases'!A143","Create encryption key")</f>
        <v>Create encryption key</v>
      </c>
      <c r="C15" s="13"/>
      <c r="D15" s="14" t="s">
        <v>32</v>
      </c>
      <c r="E15" s="14"/>
      <c r="F15" s="14"/>
      <c r="G15" s="12">
        <v>3</v>
      </c>
      <c r="H15" s="15">
        <v>2</v>
      </c>
      <c r="I15" s="16">
        <v>0</v>
      </c>
      <c r="J15" s="16">
        <v>0</v>
      </c>
      <c r="K15" s="29">
        <v>1</v>
      </c>
      <c r="L15" s="17">
        <v>0</v>
      </c>
      <c r="M15" s="18">
        <v>0</v>
      </c>
      <c r="N15" s="18"/>
      <c r="O15" s="12" t="s">
        <v>24</v>
      </c>
      <c r="P15" s="12"/>
      <c r="Q15" s="19" t="str">
        <f>HYPERLINK("#'Test Cases'!A143","Section 9 →")</f>
        <v>Section 9 →</v>
      </c>
      <c r="R15" s="19"/>
      <c r="S15" s="19"/>
    </row>
    <row r="16" ht="20" customHeight="1" spans="1:19" x14ac:dyDescent="0.25">
      <c r="A16" s="20">
        <v>10</v>
      </c>
      <c r="B16" s="21" t="str">
        <f>HYPERLINK("#'Test Cases'!A150","Read encryption key")</f>
        <v>Read encryption key</v>
      </c>
      <c r="C16" s="21"/>
      <c r="D16" s="22" t="s">
        <v>33</v>
      </c>
      <c r="E16" s="22"/>
      <c r="F16" s="22"/>
      <c r="G16" s="20">
        <v>4</v>
      </c>
      <c r="H16" s="23">
        <v>4</v>
      </c>
      <c r="I16" s="24">
        <v>0</v>
      </c>
      <c r="J16" s="24">
        <v>0</v>
      </c>
      <c r="K16" s="26">
        <v>0</v>
      </c>
      <c r="L16" s="26">
        <v>0</v>
      </c>
      <c r="M16" s="27">
        <v>0</v>
      </c>
      <c r="N16" s="27"/>
      <c r="O16" s="20" t="s">
        <v>24</v>
      </c>
      <c r="P16" s="20"/>
      <c r="Q16" s="28" t="str">
        <f>HYPERLINK("#'Test Cases'!A150","Section 10 →")</f>
        <v>Section 10 →</v>
      </c>
      <c r="R16" s="28"/>
      <c r="S16" s="28"/>
    </row>
    <row r="17" ht="20" customHeight="1" spans="1:19" x14ac:dyDescent="0.25">
      <c r="A17" s="12">
        <v>11</v>
      </c>
      <c r="B17" s="13" t="str">
        <f>HYPERLINK("#'Test Cases'!A158","Revoke encryption key")</f>
        <v>Revoke encryption key</v>
      </c>
      <c r="C17" s="13"/>
      <c r="D17" s="14" t="s">
        <v>34</v>
      </c>
      <c r="E17" s="14"/>
      <c r="F17" s="14"/>
      <c r="G17" s="12">
        <v>2</v>
      </c>
      <c r="H17" s="15">
        <v>1</v>
      </c>
      <c r="I17" s="16">
        <v>0</v>
      </c>
      <c r="J17" s="16">
        <v>0</v>
      </c>
      <c r="K17" s="29">
        <v>1</v>
      </c>
      <c r="L17" s="17">
        <v>0</v>
      </c>
      <c r="M17" s="18">
        <v>0</v>
      </c>
      <c r="N17" s="18"/>
      <c r="O17" s="12" t="s">
        <v>24</v>
      </c>
      <c r="P17" s="12"/>
      <c r="Q17" s="19" t="str">
        <f>HYPERLINK("#'Test Cases'!A158","Section 11 →")</f>
        <v>Section 11 →</v>
      </c>
      <c r="R17" s="19"/>
      <c r="S17" s="19"/>
    </row>
    <row r="18" ht="20" customHeight="1" spans="1:19" x14ac:dyDescent="0.25">
      <c r="A18" s="20">
        <v>12</v>
      </c>
      <c r="B18" s="21" t="str">
        <f>HYPERLINK("#'Test Cases'!A164","Across endpoints")</f>
        <v>Across endpoints</v>
      </c>
      <c r="C18" s="21"/>
      <c r="D18" s="22" t="s">
        <v>35</v>
      </c>
      <c r="E18" s="22"/>
      <c r="F18" s="22"/>
      <c r="G18" s="20">
        <v>10</v>
      </c>
      <c r="H18" s="23">
        <v>6</v>
      </c>
      <c r="I18" s="24">
        <v>0</v>
      </c>
      <c r="J18" s="24">
        <v>0</v>
      </c>
      <c r="K18" s="25">
        <v>4</v>
      </c>
      <c r="L18" s="26">
        <v>0</v>
      </c>
      <c r="M18" s="27">
        <v>0</v>
      </c>
      <c r="N18" s="27"/>
      <c r="O18" s="20" t="s">
        <v>24</v>
      </c>
      <c r="P18" s="20"/>
      <c r="Q18" s="28" t="str">
        <f>HYPERLINK("#'Test Cases'!A164","Section 12 →")</f>
        <v>Section 12 →</v>
      </c>
      <c r="R18" s="28"/>
      <c r="S18" s="28"/>
    </row>
    <row r="21" ht="28" customHeight="1" spans="1:19" x14ac:dyDescent="0.25">
      <c r="A21" s="30" t="s">
        <v>36</v>
      </c>
      <c r="B21" s="30"/>
      <c r="C21" s="30"/>
      <c r="D21" s="30"/>
      <c r="E21" s="30"/>
      <c r="F21" s="30"/>
      <c r="G21" s="30"/>
      <c r="H21" s="30"/>
      <c r="I21" s="30"/>
      <c r="J21" s="30"/>
      <c r="K21" s="30"/>
      <c r="L21" s="30"/>
      <c r="M21" s="30"/>
      <c r="N21" s="30"/>
      <c r="O21" s="30"/>
      <c r="P21" s="30"/>
      <c r="Q21" s="30"/>
      <c r="R21" s="30"/>
      <c r="S21" s="31" t="str">
        <f>HYPERLINK("#'Test Cases'!A5","↑ Summary")</f>
        <v>↑ Summary</v>
      </c>
    </row>
    <row r="22" ht="18" customHeight="1" spans="1:19" x14ac:dyDescent="0.25">
      <c r="A22" s="32" t="s">
        <v>37</v>
      </c>
      <c r="B22" s="32"/>
      <c r="C22" s="32"/>
      <c r="D22" s="32"/>
      <c r="E22" s="32"/>
      <c r="F22" s="32"/>
      <c r="G22" s="32"/>
      <c r="H22" s="32"/>
      <c r="I22" s="32"/>
      <c r="J22" s="32"/>
      <c r="K22" s="32"/>
      <c r="L22" s="32"/>
      <c r="M22" s="32"/>
      <c r="N22" s="32"/>
      <c r="O22" s="32"/>
      <c r="P22" s="32"/>
      <c r="Q22" s="32"/>
      <c r="R22" s="32"/>
      <c r="S22" s="32"/>
    </row>
    <row r="23" ht="30" customHeight="1" spans="1:19" x14ac:dyDescent="0.25">
      <c r="A23" s="11" t="s">
        <v>38</v>
      </c>
      <c r="B23" s="11" t="s">
        <v>39</v>
      </c>
      <c r="C23" s="11" t="s">
        <v>40</v>
      </c>
      <c r="D23" s="11" t="s">
        <v>41</v>
      </c>
      <c r="E23" s="11" t="s">
        <v>12</v>
      </c>
      <c r="F23" s="11" t="s">
        <v>42</v>
      </c>
      <c r="G23" s="11" t="s">
        <v>43</v>
      </c>
      <c r="H23" s="11" t="s">
        <v>44</v>
      </c>
      <c r="I23" s="11" t="s">
        <v>45</v>
      </c>
      <c r="J23" s="11" t="s">
        <v>46</v>
      </c>
      <c r="K23" s="11" t="s">
        <v>47</v>
      </c>
      <c r="L23" s="11" t="s">
        <v>48</v>
      </c>
      <c r="M23" s="11" t="s">
        <v>49</v>
      </c>
      <c r="N23" s="11" t="s">
        <v>50</v>
      </c>
      <c r="O23" s="11" t="s">
        <v>51</v>
      </c>
      <c r="P23" s="11" t="s">
        <v>52</v>
      </c>
      <c r="Q23" s="11" t="s">
        <v>53</v>
      </c>
      <c r="R23" s="11" t="s">
        <v>54</v>
      </c>
      <c r="S23" s="11" t="s">
        <v>55</v>
      </c>
    </row>
    <row r="24" ht="126" customHeight="1" spans="1:19" x14ac:dyDescent="0.25">
      <c r="A24" s="33">
        <v>1</v>
      </c>
      <c r="B24" s="34" t="s">
        <v>56</v>
      </c>
      <c r="C24" s="35" t="s">
        <v>57</v>
      </c>
      <c r="D24" s="36" t="s">
        <v>58</v>
      </c>
      <c r="E24" s="37" t="s">
        <v>59</v>
      </c>
      <c r="F24" s="38" t="s">
        <v>60</v>
      </c>
      <c r="G24" s="35" t="s">
        <v>61</v>
      </c>
      <c r="H24" s="39" t="s">
        <v>62</v>
      </c>
      <c r="I24" s="35" t="s">
        <v>63</v>
      </c>
      <c r="J24" s="35" t="s">
        <v>64</v>
      </c>
      <c r="K24" s="35" t="s">
        <v>65</v>
      </c>
      <c r="L24" s="36" t="s">
        <v>66</v>
      </c>
      <c r="M24" s="33" t="s">
        <v>67</v>
      </c>
      <c r="N24" s="40" t="s">
        <v>68</v>
      </c>
      <c r="O24" s="41" t="s">
        <v>69</v>
      </c>
      <c r="P24" s="42" t="s">
        <v>70</v>
      </c>
      <c r="Q24" s="43" t="s">
        <v>61</v>
      </c>
      <c r="R24" s="44" t="s">
        <v>71</v>
      </c>
      <c r="S24" s="35" t="s">
        <v>71</v>
      </c>
    </row>
    <row r="26" ht="28" customHeight="1" spans="1:19" x14ac:dyDescent="0.25">
      <c r="A26" s="30" t="s">
        <v>72</v>
      </c>
      <c r="B26" s="30"/>
      <c r="C26" s="30"/>
      <c r="D26" s="30"/>
      <c r="E26" s="30"/>
      <c r="F26" s="30"/>
      <c r="G26" s="30"/>
      <c r="H26" s="30"/>
      <c r="I26" s="30"/>
      <c r="J26" s="30"/>
      <c r="K26" s="30"/>
      <c r="L26" s="30"/>
      <c r="M26" s="30"/>
      <c r="N26" s="30"/>
      <c r="O26" s="30"/>
      <c r="P26" s="30"/>
      <c r="Q26" s="30"/>
      <c r="R26" s="30"/>
      <c r="S26" s="31" t="str">
        <f>HYPERLINK("#'Test Cases'!A5","↑ Summary")</f>
        <v>↑ Summary</v>
      </c>
    </row>
    <row r="27" ht="18" customHeight="1" spans="1:19" x14ac:dyDescent="0.25">
      <c r="A27" s="32" t="s">
        <v>73</v>
      </c>
      <c r="B27" s="32"/>
      <c r="C27" s="32"/>
      <c r="D27" s="32"/>
      <c r="E27" s="32"/>
      <c r="F27" s="32"/>
      <c r="G27" s="32"/>
      <c r="H27" s="32"/>
      <c r="I27" s="32"/>
      <c r="J27" s="32"/>
      <c r="K27" s="32"/>
      <c r="L27" s="32"/>
      <c r="M27" s="32"/>
      <c r="N27" s="32"/>
      <c r="O27" s="32"/>
      <c r="P27" s="32"/>
      <c r="Q27" s="32"/>
      <c r="R27" s="32"/>
      <c r="S27" s="32"/>
    </row>
    <row r="28" ht="30" customHeight="1" spans="1:19" x14ac:dyDescent="0.25">
      <c r="A28" s="11" t="s">
        <v>38</v>
      </c>
      <c r="B28" s="11" t="s">
        <v>39</v>
      </c>
      <c r="C28" s="11" t="s">
        <v>40</v>
      </c>
      <c r="D28" s="11" t="s">
        <v>41</v>
      </c>
      <c r="E28" s="11" t="s">
        <v>12</v>
      </c>
      <c r="F28" s="11" t="s">
        <v>42</v>
      </c>
      <c r="G28" s="11" t="s">
        <v>43</v>
      </c>
      <c r="H28" s="11" t="s">
        <v>44</v>
      </c>
      <c r="I28" s="11" t="s">
        <v>45</v>
      </c>
      <c r="J28" s="11" t="s">
        <v>46</v>
      </c>
      <c r="K28" s="11" t="s">
        <v>47</v>
      </c>
      <c r="L28" s="11" t="s">
        <v>48</v>
      </c>
      <c r="M28" s="11" t="s">
        <v>49</v>
      </c>
      <c r="N28" s="11" t="s">
        <v>50</v>
      </c>
      <c r="O28" s="11" t="s">
        <v>51</v>
      </c>
      <c r="P28" s="11" t="s">
        <v>52</v>
      </c>
      <c r="Q28" s="11" t="s">
        <v>53</v>
      </c>
      <c r="R28" s="11" t="s">
        <v>54</v>
      </c>
      <c r="S28" s="11" t="s">
        <v>55</v>
      </c>
    </row>
    <row r="29" ht="96" customHeight="1" spans="1:19" x14ac:dyDescent="0.25">
      <c r="A29" s="33">
        <v>1</v>
      </c>
      <c r="B29" s="34" t="s">
        <v>74</v>
      </c>
      <c r="C29" s="35" t="s">
        <v>75</v>
      </c>
      <c r="D29" s="36" t="s">
        <v>76</v>
      </c>
      <c r="E29" s="37" t="s">
        <v>77</v>
      </c>
      <c r="F29" s="38" t="s">
        <v>78</v>
      </c>
      <c r="G29" s="35" t="s">
        <v>61</v>
      </c>
      <c r="H29" s="39" t="s">
        <v>79</v>
      </c>
      <c r="I29" s="35" t="s">
        <v>80</v>
      </c>
      <c r="J29" s="35" t="s">
        <v>81</v>
      </c>
      <c r="K29" s="35" t="s">
        <v>82</v>
      </c>
      <c r="L29" s="36" t="s">
        <v>83</v>
      </c>
      <c r="M29" s="33" t="s">
        <v>76</v>
      </c>
      <c r="N29" s="45" t="s">
        <v>84</v>
      </c>
      <c r="O29" s="46" t="s">
        <v>85</v>
      </c>
      <c r="P29" s="42" t="s">
        <v>70</v>
      </c>
      <c r="Q29" s="43" t="s">
        <v>61</v>
      </c>
      <c r="R29" s="44" t="s">
        <v>71</v>
      </c>
      <c r="S29" s="35" t="s">
        <v>71</v>
      </c>
    </row>
    <row r="30" ht="141" customHeight="1" spans="1:19" x14ac:dyDescent="0.25">
      <c r="A30" s="47">
        <v>2</v>
      </c>
      <c r="B30" s="48" t="s">
        <v>86</v>
      </c>
      <c r="C30" s="49" t="s">
        <v>87</v>
      </c>
      <c r="D30" s="50" t="s">
        <v>88</v>
      </c>
      <c r="E30" s="51" t="s">
        <v>77</v>
      </c>
      <c r="F30" s="52" t="s">
        <v>78</v>
      </c>
      <c r="G30" s="49" t="s">
        <v>89</v>
      </c>
      <c r="H30" s="53" t="s">
        <v>90</v>
      </c>
      <c r="I30" s="49" t="s">
        <v>91</v>
      </c>
      <c r="J30" s="49" t="s">
        <v>92</v>
      </c>
      <c r="K30" s="49" t="s">
        <v>93</v>
      </c>
      <c r="L30" s="50" t="s">
        <v>94</v>
      </c>
      <c r="M30" s="47" t="s">
        <v>88</v>
      </c>
      <c r="N30" s="54" t="s">
        <v>84</v>
      </c>
      <c r="O30" s="55" t="s">
        <v>95</v>
      </c>
      <c r="P30" s="56" t="s">
        <v>96</v>
      </c>
      <c r="Q30" s="57" t="s">
        <v>97</v>
      </c>
      <c r="R30" s="57" t="s">
        <v>98</v>
      </c>
      <c r="S30" s="49" t="s">
        <v>71</v>
      </c>
    </row>
    <row r="31" ht="81" customHeight="1" spans="1:19" x14ac:dyDescent="0.25">
      <c r="A31" s="33">
        <v>3</v>
      </c>
      <c r="B31" s="34" t="s">
        <v>99</v>
      </c>
      <c r="C31" s="35" t="s">
        <v>100</v>
      </c>
      <c r="D31" s="36" t="s">
        <v>88</v>
      </c>
      <c r="E31" s="37" t="s">
        <v>77</v>
      </c>
      <c r="F31" s="38" t="s">
        <v>78</v>
      </c>
      <c r="G31" s="35" t="s">
        <v>89</v>
      </c>
      <c r="H31" s="39" t="s">
        <v>101</v>
      </c>
      <c r="I31" s="35" t="s">
        <v>102</v>
      </c>
      <c r="J31" s="35" t="s">
        <v>103</v>
      </c>
      <c r="K31" s="35" t="s">
        <v>104</v>
      </c>
      <c r="L31" s="36" t="s">
        <v>105</v>
      </c>
      <c r="M31" s="33" t="s">
        <v>88</v>
      </c>
      <c r="N31" s="45" t="s">
        <v>84</v>
      </c>
      <c r="O31" s="41" t="s">
        <v>69</v>
      </c>
      <c r="P31" s="56" t="s">
        <v>96</v>
      </c>
      <c r="Q31" s="58" t="s">
        <v>97</v>
      </c>
      <c r="R31" s="58" t="s">
        <v>98</v>
      </c>
      <c r="S31" s="35" t="s">
        <v>71</v>
      </c>
    </row>
    <row r="32" ht="81" customHeight="1" spans="1:19" x14ac:dyDescent="0.25">
      <c r="A32" s="47">
        <v>4</v>
      </c>
      <c r="B32" s="48" t="s">
        <v>106</v>
      </c>
      <c r="C32" s="49" t="s">
        <v>107</v>
      </c>
      <c r="D32" s="50" t="s">
        <v>88</v>
      </c>
      <c r="E32" s="51" t="s">
        <v>77</v>
      </c>
      <c r="F32" s="52" t="s">
        <v>78</v>
      </c>
      <c r="G32" s="49" t="s">
        <v>89</v>
      </c>
      <c r="H32" s="53" t="s">
        <v>108</v>
      </c>
      <c r="I32" s="49" t="s">
        <v>109</v>
      </c>
      <c r="J32" s="49" t="s">
        <v>110</v>
      </c>
      <c r="K32" s="49" t="s">
        <v>111</v>
      </c>
      <c r="L32" s="50" t="s">
        <v>112</v>
      </c>
      <c r="M32" s="47" t="s">
        <v>88</v>
      </c>
      <c r="N32" s="54" t="s">
        <v>84</v>
      </c>
      <c r="O32" s="59" t="s">
        <v>69</v>
      </c>
      <c r="P32" s="56" t="s">
        <v>96</v>
      </c>
      <c r="Q32" s="57" t="s">
        <v>97</v>
      </c>
      <c r="R32" s="57" t="s">
        <v>98</v>
      </c>
      <c r="S32" s="49" t="s">
        <v>71</v>
      </c>
    </row>
    <row r="33" ht="81" customHeight="1" spans="1:19" x14ac:dyDescent="0.25">
      <c r="A33" s="33">
        <v>5</v>
      </c>
      <c r="B33" s="34" t="s">
        <v>113</v>
      </c>
      <c r="C33" s="35" t="s">
        <v>114</v>
      </c>
      <c r="D33" s="36" t="s">
        <v>88</v>
      </c>
      <c r="E33" s="37" t="s">
        <v>77</v>
      </c>
      <c r="F33" s="38" t="s">
        <v>78</v>
      </c>
      <c r="G33" s="35" t="s">
        <v>89</v>
      </c>
      <c r="H33" s="39" t="s">
        <v>115</v>
      </c>
      <c r="I33" s="35" t="s">
        <v>116</v>
      </c>
      <c r="J33" s="35" t="s">
        <v>117</v>
      </c>
      <c r="K33" s="35" t="s">
        <v>118</v>
      </c>
      <c r="L33" s="36" t="s">
        <v>119</v>
      </c>
      <c r="M33" s="33" t="s">
        <v>88</v>
      </c>
      <c r="N33" s="45" t="s">
        <v>84</v>
      </c>
      <c r="O33" s="46" t="s">
        <v>85</v>
      </c>
      <c r="P33" s="56" t="s">
        <v>96</v>
      </c>
      <c r="Q33" s="58" t="s">
        <v>97</v>
      </c>
      <c r="R33" s="58" t="s">
        <v>98</v>
      </c>
      <c r="S33" s="35" t="s">
        <v>71</v>
      </c>
    </row>
    <row r="34" ht="201" customHeight="1" spans="1:19" x14ac:dyDescent="0.25">
      <c r="A34" s="47">
        <v>6</v>
      </c>
      <c r="B34" s="48" t="s">
        <v>120</v>
      </c>
      <c r="C34" s="49" t="s">
        <v>121</v>
      </c>
      <c r="D34" s="50" t="s">
        <v>88</v>
      </c>
      <c r="E34" s="51" t="s">
        <v>77</v>
      </c>
      <c r="F34" s="52" t="s">
        <v>78</v>
      </c>
      <c r="G34" s="49" t="s">
        <v>122</v>
      </c>
      <c r="H34" s="53" t="s">
        <v>123</v>
      </c>
      <c r="I34" s="49" t="s">
        <v>124</v>
      </c>
      <c r="J34" s="49" t="s">
        <v>125</v>
      </c>
      <c r="K34" s="49" t="s">
        <v>126</v>
      </c>
      <c r="L34" s="50" t="s">
        <v>127</v>
      </c>
      <c r="M34" s="47" t="s">
        <v>88</v>
      </c>
      <c r="N34" s="54" t="s">
        <v>84</v>
      </c>
      <c r="O34" s="55" t="s">
        <v>95</v>
      </c>
      <c r="P34" s="56" t="s">
        <v>96</v>
      </c>
      <c r="Q34" s="57" t="s">
        <v>97</v>
      </c>
      <c r="R34" s="57" t="s">
        <v>98</v>
      </c>
      <c r="S34" s="49" t="s">
        <v>71</v>
      </c>
    </row>
    <row r="35" ht="171" customHeight="1" spans="1:19" x14ac:dyDescent="0.25">
      <c r="A35" s="33">
        <v>7</v>
      </c>
      <c r="B35" s="34" t="s">
        <v>128</v>
      </c>
      <c r="C35" s="35" t="s">
        <v>129</v>
      </c>
      <c r="D35" s="36" t="s">
        <v>88</v>
      </c>
      <c r="E35" s="37" t="s">
        <v>77</v>
      </c>
      <c r="F35" s="38" t="s">
        <v>78</v>
      </c>
      <c r="G35" s="35" t="s">
        <v>122</v>
      </c>
      <c r="H35" s="39" t="s">
        <v>130</v>
      </c>
      <c r="I35" s="35" t="s">
        <v>131</v>
      </c>
      <c r="J35" s="35" t="s">
        <v>132</v>
      </c>
      <c r="K35" s="35" t="s">
        <v>133</v>
      </c>
      <c r="L35" s="36" t="s">
        <v>134</v>
      </c>
      <c r="M35" s="33" t="s">
        <v>88</v>
      </c>
      <c r="N35" s="45" t="s">
        <v>84</v>
      </c>
      <c r="O35" s="41" t="s">
        <v>69</v>
      </c>
      <c r="P35" s="56" t="s">
        <v>96</v>
      </c>
      <c r="Q35" s="58" t="s">
        <v>97</v>
      </c>
      <c r="R35" s="58" t="s">
        <v>98</v>
      </c>
      <c r="S35" s="35" t="s">
        <v>71</v>
      </c>
    </row>
    <row r="36" ht="231" customHeight="1" spans="1:19" x14ac:dyDescent="0.25">
      <c r="A36" s="47">
        <v>8</v>
      </c>
      <c r="B36" s="48" t="s">
        <v>135</v>
      </c>
      <c r="C36" s="49" t="s">
        <v>136</v>
      </c>
      <c r="D36" s="50" t="s">
        <v>88</v>
      </c>
      <c r="E36" s="51" t="s">
        <v>77</v>
      </c>
      <c r="F36" s="52" t="s">
        <v>78</v>
      </c>
      <c r="G36" s="49" t="s">
        <v>137</v>
      </c>
      <c r="H36" s="53" t="s">
        <v>138</v>
      </c>
      <c r="I36" s="49" t="s">
        <v>139</v>
      </c>
      <c r="J36" s="49" t="s">
        <v>140</v>
      </c>
      <c r="K36" s="49" t="s">
        <v>141</v>
      </c>
      <c r="L36" s="50" t="s">
        <v>142</v>
      </c>
      <c r="M36" s="47" t="s">
        <v>88</v>
      </c>
      <c r="N36" s="54" t="s">
        <v>84</v>
      </c>
      <c r="O36" s="59" t="s">
        <v>69</v>
      </c>
      <c r="P36" s="56" t="s">
        <v>96</v>
      </c>
      <c r="Q36" s="57" t="s">
        <v>97</v>
      </c>
      <c r="R36" s="57" t="s">
        <v>98</v>
      </c>
      <c r="S36" s="49" t="s">
        <v>71</v>
      </c>
    </row>
    <row r="37" ht="171" customHeight="1" spans="1:19" x14ac:dyDescent="0.25">
      <c r="A37" s="33">
        <v>9</v>
      </c>
      <c r="B37" s="34" t="s">
        <v>143</v>
      </c>
      <c r="C37" s="35" t="s">
        <v>144</v>
      </c>
      <c r="D37" s="36" t="s">
        <v>88</v>
      </c>
      <c r="E37" s="37" t="s">
        <v>77</v>
      </c>
      <c r="F37" s="38" t="s">
        <v>78</v>
      </c>
      <c r="G37" s="35" t="s">
        <v>122</v>
      </c>
      <c r="H37" s="39" t="s">
        <v>145</v>
      </c>
      <c r="I37" s="35" t="s">
        <v>146</v>
      </c>
      <c r="J37" s="35" t="s">
        <v>147</v>
      </c>
      <c r="K37" s="35" t="s">
        <v>148</v>
      </c>
      <c r="L37" s="36" t="s">
        <v>149</v>
      </c>
      <c r="M37" s="33" t="s">
        <v>88</v>
      </c>
      <c r="N37" s="45" t="s">
        <v>84</v>
      </c>
      <c r="O37" s="41" t="s">
        <v>69</v>
      </c>
      <c r="P37" s="56" t="s">
        <v>96</v>
      </c>
      <c r="Q37" s="58" t="s">
        <v>97</v>
      </c>
      <c r="R37" s="58" t="s">
        <v>98</v>
      </c>
      <c r="S37" s="35" t="s">
        <v>71</v>
      </c>
    </row>
    <row r="38" ht="216" customHeight="1" spans="1:19" x14ac:dyDescent="0.25">
      <c r="A38" s="47">
        <v>10</v>
      </c>
      <c r="B38" s="48" t="s">
        <v>150</v>
      </c>
      <c r="C38" s="49" t="s">
        <v>151</v>
      </c>
      <c r="D38" s="50" t="s">
        <v>88</v>
      </c>
      <c r="E38" s="51" t="s">
        <v>77</v>
      </c>
      <c r="F38" s="52" t="s">
        <v>78</v>
      </c>
      <c r="G38" s="49" t="s">
        <v>152</v>
      </c>
      <c r="H38" s="53" t="s">
        <v>153</v>
      </c>
      <c r="I38" s="49" t="s">
        <v>154</v>
      </c>
      <c r="J38" s="49" t="s">
        <v>155</v>
      </c>
      <c r="K38" s="49" t="s">
        <v>156</v>
      </c>
      <c r="L38" s="50" t="s">
        <v>157</v>
      </c>
      <c r="M38" s="47" t="s">
        <v>88</v>
      </c>
      <c r="N38" s="54" t="s">
        <v>84</v>
      </c>
      <c r="O38" s="60" t="s">
        <v>85</v>
      </c>
      <c r="P38" s="56" t="s">
        <v>96</v>
      </c>
      <c r="Q38" s="57" t="s">
        <v>97</v>
      </c>
      <c r="R38" s="57" t="s">
        <v>98</v>
      </c>
      <c r="S38" s="49" t="s">
        <v>71</v>
      </c>
    </row>
    <row r="39" ht="126" customHeight="1" spans="1:19" x14ac:dyDescent="0.25">
      <c r="A39" s="33">
        <v>11</v>
      </c>
      <c r="B39" s="34" t="s">
        <v>158</v>
      </c>
      <c r="C39" s="35" t="s">
        <v>159</v>
      </c>
      <c r="D39" s="36" t="s">
        <v>88</v>
      </c>
      <c r="E39" s="37" t="s">
        <v>77</v>
      </c>
      <c r="F39" s="38" t="s">
        <v>78</v>
      </c>
      <c r="G39" s="35" t="s">
        <v>160</v>
      </c>
      <c r="H39" s="39" t="s">
        <v>161</v>
      </c>
      <c r="I39" s="35" t="s">
        <v>162</v>
      </c>
      <c r="J39" s="35" t="s">
        <v>163</v>
      </c>
      <c r="K39" s="35" t="s">
        <v>164</v>
      </c>
      <c r="L39" s="36" t="s">
        <v>165</v>
      </c>
      <c r="M39" s="33" t="s">
        <v>88</v>
      </c>
      <c r="N39" s="45" t="s">
        <v>84</v>
      </c>
      <c r="O39" s="46" t="s">
        <v>85</v>
      </c>
      <c r="P39" s="56" t="s">
        <v>96</v>
      </c>
      <c r="Q39" s="58" t="s">
        <v>166</v>
      </c>
      <c r="R39" s="58" t="s">
        <v>167</v>
      </c>
      <c r="S39" s="35" t="s">
        <v>71</v>
      </c>
    </row>
    <row r="40" ht="81" customHeight="1" spans="1:19" x14ac:dyDescent="0.25">
      <c r="A40" s="47">
        <v>12</v>
      </c>
      <c r="B40" s="48" t="s">
        <v>168</v>
      </c>
      <c r="C40" s="49" t="s">
        <v>169</v>
      </c>
      <c r="D40" s="50" t="s">
        <v>170</v>
      </c>
      <c r="E40" s="51" t="s">
        <v>77</v>
      </c>
      <c r="F40" s="52" t="s">
        <v>78</v>
      </c>
      <c r="G40" s="49" t="s">
        <v>61</v>
      </c>
      <c r="H40" s="53" t="s">
        <v>171</v>
      </c>
      <c r="I40" s="49" t="s">
        <v>172</v>
      </c>
      <c r="J40" s="49" t="s">
        <v>173</v>
      </c>
      <c r="K40" s="49" t="s">
        <v>174</v>
      </c>
      <c r="L40" s="50" t="s">
        <v>175</v>
      </c>
      <c r="M40" s="47" t="s">
        <v>67</v>
      </c>
      <c r="N40" s="54" t="s">
        <v>84</v>
      </c>
      <c r="O40" s="59" t="s">
        <v>69</v>
      </c>
      <c r="P40" s="42" t="s">
        <v>70</v>
      </c>
      <c r="Q40" s="61" t="s">
        <v>61</v>
      </c>
      <c r="R40" s="62" t="s">
        <v>71</v>
      </c>
      <c r="S40" s="49" t="s">
        <v>71</v>
      </c>
    </row>
    <row r="41" ht="126" customHeight="1" spans="1:19" x14ac:dyDescent="0.25">
      <c r="A41" s="33">
        <v>13</v>
      </c>
      <c r="B41" s="34" t="s">
        <v>176</v>
      </c>
      <c r="C41" s="35" t="s">
        <v>177</v>
      </c>
      <c r="D41" s="36" t="s">
        <v>170</v>
      </c>
      <c r="E41" s="37" t="s">
        <v>77</v>
      </c>
      <c r="F41" s="38" t="s">
        <v>78</v>
      </c>
      <c r="G41" s="35" t="s">
        <v>178</v>
      </c>
      <c r="H41" s="39" t="s">
        <v>179</v>
      </c>
      <c r="I41" s="35" t="s">
        <v>180</v>
      </c>
      <c r="J41" s="35" t="s">
        <v>181</v>
      </c>
      <c r="K41" s="35" t="s">
        <v>182</v>
      </c>
      <c r="L41" s="36" t="s">
        <v>183</v>
      </c>
      <c r="M41" s="33" t="s">
        <v>67</v>
      </c>
      <c r="N41" s="45" t="s">
        <v>84</v>
      </c>
      <c r="O41" s="41" t="s">
        <v>69</v>
      </c>
      <c r="P41" s="42" t="s">
        <v>70</v>
      </c>
      <c r="Q41" s="43" t="s">
        <v>61</v>
      </c>
      <c r="R41" s="44" t="s">
        <v>71</v>
      </c>
      <c r="S41" s="35" t="s">
        <v>71</v>
      </c>
    </row>
    <row r="42" ht="96" customHeight="1" spans="1:19" x14ac:dyDescent="0.25">
      <c r="A42" s="47">
        <v>14</v>
      </c>
      <c r="B42" s="48" t="s">
        <v>184</v>
      </c>
      <c r="C42" s="49" t="s">
        <v>185</v>
      </c>
      <c r="D42" s="50" t="s">
        <v>170</v>
      </c>
      <c r="E42" s="51" t="s">
        <v>77</v>
      </c>
      <c r="F42" s="52" t="s">
        <v>78</v>
      </c>
      <c r="G42" s="49" t="s">
        <v>61</v>
      </c>
      <c r="H42" s="53" t="s">
        <v>186</v>
      </c>
      <c r="I42" s="49" t="s">
        <v>187</v>
      </c>
      <c r="J42" s="49" t="s">
        <v>188</v>
      </c>
      <c r="K42" s="49" t="s">
        <v>189</v>
      </c>
      <c r="L42" s="50" t="s">
        <v>190</v>
      </c>
      <c r="M42" s="47" t="s">
        <v>191</v>
      </c>
      <c r="N42" s="54" t="s">
        <v>84</v>
      </c>
      <c r="O42" s="59" t="s">
        <v>69</v>
      </c>
      <c r="P42" s="42" t="s">
        <v>70</v>
      </c>
      <c r="Q42" s="61" t="s">
        <v>61</v>
      </c>
      <c r="R42" s="62" t="s">
        <v>71</v>
      </c>
      <c r="S42" s="49" t="s">
        <v>71</v>
      </c>
    </row>
    <row r="43" ht="141" customHeight="1" spans="1:19" x14ac:dyDescent="0.25">
      <c r="A43" s="33">
        <v>15</v>
      </c>
      <c r="B43" s="34" t="s">
        <v>192</v>
      </c>
      <c r="C43" s="35" t="s">
        <v>193</v>
      </c>
      <c r="D43" s="36" t="s">
        <v>170</v>
      </c>
      <c r="E43" s="37" t="s">
        <v>77</v>
      </c>
      <c r="F43" s="38" t="s">
        <v>78</v>
      </c>
      <c r="G43" s="35" t="s">
        <v>61</v>
      </c>
      <c r="H43" s="39" t="s">
        <v>194</v>
      </c>
      <c r="I43" s="35" t="s">
        <v>195</v>
      </c>
      <c r="J43" s="35" t="s">
        <v>196</v>
      </c>
      <c r="K43" s="35" t="s">
        <v>197</v>
      </c>
      <c r="L43" s="36" t="s">
        <v>198</v>
      </c>
      <c r="M43" s="33" t="s">
        <v>67</v>
      </c>
      <c r="N43" s="45" t="s">
        <v>84</v>
      </c>
      <c r="O43" s="46" t="s">
        <v>85</v>
      </c>
      <c r="P43" s="42" t="s">
        <v>70</v>
      </c>
      <c r="Q43" s="43" t="s">
        <v>61</v>
      </c>
      <c r="R43" s="44" t="s">
        <v>71</v>
      </c>
      <c r="S43" s="35" t="s">
        <v>71</v>
      </c>
    </row>
    <row r="44" ht="141" customHeight="1" spans="1:19" x14ac:dyDescent="0.25">
      <c r="A44" s="47">
        <v>16</v>
      </c>
      <c r="B44" s="48" t="s">
        <v>199</v>
      </c>
      <c r="C44" s="49" t="s">
        <v>200</v>
      </c>
      <c r="D44" s="50" t="s">
        <v>201</v>
      </c>
      <c r="E44" s="51" t="s">
        <v>77</v>
      </c>
      <c r="F44" s="52" t="s">
        <v>78</v>
      </c>
      <c r="G44" s="49" t="s">
        <v>61</v>
      </c>
      <c r="H44" s="53" t="s">
        <v>202</v>
      </c>
      <c r="I44" s="49" t="s">
        <v>203</v>
      </c>
      <c r="J44" s="49" t="s">
        <v>204</v>
      </c>
      <c r="K44" s="49" t="s">
        <v>205</v>
      </c>
      <c r="L44" s="50" t="s">
        <v>206</v>
      </c>
      <c r="M44" s="47" t="s">
        <v>207</v>
      </c>
      <c r="N44" s="63" t="s">
        <v>68</v>
      </c>
      <c r="O44" s="55" t="s">
        <v>95</v>
      </c>
      <c r="P44" s="42" t="s">
        <v>70</v>
      </c>
      <c r="Q44" s="61" t="s">
        <v>61</v>
      </c>
      <c r="R44" s="62" t="s">
        <v>71</v>
      </c>
      <c r="S44" s="49" t="s">
        <v>71</v>
      </c>
    </row>
    <row r="45" ht="96" customHeight="1" spans="1:19" x14ac:dyDescent="0.25">
      <c r="A45" s="33">
        <v>17</v>
      </c>
      <c r="B45" s="34" t="s">
        <v>208</v>
      </c>
      <c r="C45" s="35" t="s">
        <v>209</v>
      </c>
      <c r="D45" s="36" t="s">
        <v>210</v>
      </c>
      <c r="E45" s="37" t="s">
        <v>77</v>
      </c>
      <c r="F45" s="38" t="s">
        <v>78</v>
      </c>
      <c r="G45" s="35" t="s">
        <v>61</v>
      </c>
      <c r="H45" s="39" t="s">
        <v>211</v>
      </c>
      <c r="I45" s="35" t="s">
        <v>212</v>
      </c>
      <c r="J45" s="35" t="s">
        <v>213</v>
      </c>
      <c r="K45" s="35" t="s">
        <v>214</v>
      </c>
      <c r="L45" s="36" t="s">
        <v>215</v>
      </c>
      <c r="M45" s="33" t="s">
        <v>67</v>
      </c>
      <c r="N45" s="40" t="s">
        <v>68</v>
      </c>
      <c r="O45" s="64" t="s">
        <v>95</v>
      </c>
      <c r="P45" s="42" t="s">
        <v>70</v>
      </c>
      <c r="Q45" s="43" t="s">
        <v>61</v>
      </c>
      <c r="R45" s="44" t="s">
        <v>71</v>
      </c>
      <c r="S45" s="35" t="s">
        <v>71</v>
      </c>
    </row>
    <row r="46" ht="141" customHeight="1" spans="1:19" x14ac:dyDescent="0.25">
      <c r="A46" s="47">
        <v>18</v>
      </c>
      <c r="B46" s="48" t="s">
        <v>216</v>
      </c>
      <c r="C46" s="49" t="s">
        <v>217</v>
      </c>
      <c r="D46" s="50" t="s">
        <v>210</v>
      </c>
      <c r="E46" s="51" t="s">
        <v>77</v>
      </c>
      <c r="F46" s="52" t="s">
        <v>78</v>
      </c>
      <c r="G46" s="49" t="s">
        <v>61</v>
      </c>
      <c r="H46" s="53" t="s">
        <v>218</v>
      </c>
      <c r="I46" s="49" t="s">
        <v>219</v>
      </c>
      <c r="J46" s="49" t="s">
        <v>220</v>
      </c>
      <c r="K46" s="49" t="s">
        <v>221</v>
      </c>
      <c r="L46" s="50" t="s">
        <v>222</v>
      </c>
      <c r="M46" s="47" t="s">
        <v>67</v>
      </c>
      <c r="N46" s="63" t="s">
        <v>68</v>
      </c>
      <c r="O46" s="55" t="s">
        <v>95</v>
      </c>
      <c r="P46" s="42" t="s">
        <v>70</v>
      </c>
      <c r="Q46" s="61" t="s">
        <v>61</v>
      </c>
      <c r="R46" s="62" t="s">
        <v>71</v>
      </c>
      <c r="S46" s="49" t="s">
        <v>71</v>
      </c>
    </row>
    <row r="47" ht="126" customHeight="1" spans="1:19" x14ac:dyDescent="0.25">
      <c r="A47" s="33">
        <v>19</v>
      </c>
      <c r="B47" s="34" t="s">
        <v>223</v>
      </c>
      <c r="C47" s="35" t="s">
        <v>224</v>
      </c>
      <c r="D47" s="36" t="s">
        <v>210</v>
      </c>
      <c r="E47" s="37" t="s">
        <v>77</v>
      </c>
      <c r="F47" s="38" t="s">
        <v>78</v>
      </c>
      <c r="G47" s="35" t="s">
        <v>61</v>
      </c>
      <c r="H47" s="39" t="s">
        <v>225</v>
      </c>
      <c r="I47" s="35" t="s">
        <v>226</v>
      </c>
      <c r="J47" s="35" t="s">
        <v>227</v>
      </c>
      <c r="K47" s="35" t="s">
        <v>228</v>
      </c>
      <c r="L47" s="36" t="s">
        <v>229</v>
      </c>
      <c r="M47" s="33" t="s">
        <v>191</v>
      </c>
      <c r="N47" s="45" t="s">
        <v>84</v>
      </c>
      <c r="O47" s="41" t="s">
        <v>69</v>
      </c>
      <c r="P47" s="42" t="s">
        <v>70</v>
      </c>
      <c r="Q47" s="43" t="s">
        <v>61</v>
      </c>
      <c r="R47" s="44" t="s">
        <v>71</v>
      </c>
      <c r="S47" s="35" t="s">
        <v>71</v>
      </c>
    </row>
    <row r="48" ht="96" customHeight="1" spans="1:19" x14ac:dyDescent="0.25">
      <c r="A48" s="47">
        <v>20</v>
      </c>
      <c r="B48" s="48" t="s">
        <v>230</v>
      </c>
      <c r="C48" s="49" t="s">
        <v>231</v>
      </c>
      <c r="D48" s="50" t="s">
        <v>210</v>
      </c>
      <c r="E48" s="51" t="s">
        <v>77</v>
      </c>
      <c r="F48" s="52" t="s">
        <v>78</v>
      </c>
      <c r="G48" s="49" t="s">
        <v>61</v>
      </c>
      <c r="H48" s="53" t="s">
        <v>232</v>
      </c>
      <c r="I48" s="49" t="s">
        <v>233</v>
      </c>
      <c r="J48" s="49" t="s">
        <v>234</v>
      </c>
      <c r="K48" s="49" t="s">
        <v>235</v>
      </c>
      <c r="L48" s="50" t="s">
        <v>236</v>
      </c>
      <c r="M48" s="47" t="s">
        <v>191</v>
      </c>
      <c r="N48" s="54" t="s">
        <v>84</v>
      </c>
      <c r="O48" s="60" t="s">
        <v>85</v>
      </c>
      <c r="P48" s="42" t="s">
        <v>70</v>
      </c>
      <c r="Q48" s="61" t="s">
        <v>61</v>
      </c>
      <c r="R48" s="62" t="s">
        <v>71</v>
      </c>
      <c r="S48" s="49" t="s">
        <v>71</v>
      </c>
    </row>
    <row r="49" ht="96" customHeight="1" spans="1:19" x14ac:dyDescent="0.25">
      <c r="A49" s="33">
        <v>21</v>
      </c>
      <c r="B49" s="34" t="s">
        <v>237</v>
      </c>
      <c r="C49" s="35" t="s">
        <v>238</v>
      </c>
      <c r="D49" s="36" t="s">
        <v>210</v>
      </c>
      <c r="E49" s="37" t="s">
        <v>77</v>
      </c>
      <c r="F49" s="38" t="s">
        <v>78</v>
      </c>
      <c r="G49" s="35" t="s">
        <v>61</v>
      </c>
      <c r="H49" s="39" t="s">
        <v>239</v>
      </c>
      <c r="I49" s="35" t="s">
        <v>240</v>
      </c>
      <c r="J49" s="35" t="s">
        <v>241</v>
      </c>
      <c r="K49" s="35" t="s">
        <v>242</v>
      </c>
      <c r="L49" s="36" t="s">
        <v>243</v>
      </c>
      <c r="M49" s="33" t="s">
        <v>67</v>
      </c>
      <c r="N49" s="45" t="s">
        <v>84</v>
      </c>
      <c r="O49" s="46" t="s">
        <v>85</v>
      </c>
      <c r="P49" s="42" t="s">
        <v>70</v>
      </c>
      <c r="Q49" s="43" t="s">
        <v>61</v>
      </c>
      <c r="R49" s="44" t="s">
        <v>71</v>
      </c>
      <c r="S49" s="35" t="s">
        <v>71</v>
      </c>
    </row>
    <row r="50" ht="96" customHeight="1" spans="1:19" x14ac:dyDescent="0.25">
      <c r="A50" s="47">
        <v>22</v>
      </c>
      <c r="B50" s="48" t="s">
        <v>244</v>
      </c>
      <c r="C50" s="49" t="s">
        <v>245</v>
      </c>
      <c r="D50" s="50" t="s">
        <v>210</v>
      </c>
      <c r="E50" s="51" t="s">
        <v>77</v>
      </c>
      <c r="F50" s="52" t="s">
        <v>78</v>
      </c>
      <c r="G50" s="49" t="s">
        <v>61</v>
      </c>
      <c r="H50" s="53" t="s">
        <v>246</v>
      </c>
      <c r="I50" s="49" t="s">
        <v>247</v>
      </c>
      <c r="J50" s="49" t="s">
        <v>248</v>
      </c>
      <c r="K50" s="49" t="s">
        <v>249</v>
      </c>
      <c r="L50" s="50" t="s">
        <v>250</v>
      </c>
      <c r="M50" s="47" t="s">
        <v>191</v>
      </c>
      <c r="N50" s="54" t="s">
        <v>84</v>
      </c>
      <c r="O50" s="60" t="s">
        <v>85</v>
      </c>
      <c r="P50" s="42" t="s">
        <v>70</v>
      </c>
      <c r="Q50" s="61" t="s">
        <v>61</v>
      </c>
      <c r="R50" s="62" t="s">
        <v>71</v>
      </c>
      <c r="S50" s="49" t="s">
        <v>71</v>
      </c>
    </row>
    <row r="51" ht="81" customHeight="1" spans="1:19" x14ac:dyDescent="0.25">
      <c r="A51" s="33">
        <v>23</v>
      </c>
      <c r="B51" s="34" t="s">
        <v>251</v>
      </c>
      <c r="C51" s="35" t="s">
        <v>252</v>
      </c>
      <c r="D51" s="36" t="s">
        <v>210</v>
      </c>
      <c r="E51" s="37" t="s">
        <v>77</v>
      </c>
      <c r="F51" s="38" t="s">
        <v>78</v>
      </c>
      <c r="G51" s="35" t="s">
        <v>61</v>
      </c>
      <c r="H51" s="39" t="s">
        <v>253</v>
      </c>
      <c r="I51" s="35" t="s">
        <v>254</v>
      </c>
      <c r="J51" s="35" t="s">
        <v>255</v>
      </c>
      <c r="K51" s="35" t="s">
        <v>256</v>
      </c>
      <c r="L51" s="36" t="s">
        <v>257</v>
      </c>
      <c r="M51" s="33" t="s">
        <v>191</v>
      </c>
      <c r="N51" s="45" t="s">
        <v>84</v>
      </c>
      <c r="O51" s="46" t="s">
        <v>85</v>
      </c>
      <c r="P51" s="42" t="s">
        <v>70</v>
      </c>
      <c r="Q51" s="43" t="s">
        <v>61</v>
      </c>
      <c r="R51" s="44" t="s">
        <v>71</v>
      </c>
      <c r="S51" s="35" t="s">
        <v>71</v>
      </c>
    </row>
    <row r="52" ht="111" customHeight="1" spans="1:19" x14ac:dyDescent="0.25">
      <c r="A52" s="47">
        <v>24</v>
      </c>
      <c r="B52" s="48" t="s">
        <v>258</v>
      </c>
      <c r="C52" s="49" t="s">
        <v>259</v>
      </c>
      <c r="D52" s="50" t="s">
        <v>210</v>
      </c>
      <c r="E52" s="51" t="s">
        <v>77</v>
      </c>
      <c r="F52" s="52" t="s">
        <v>78</v>
      </c>
      <c r="G52" s="49" t="s">
        <v>260</v>
      </c>
      <c r="H52" s="53" t="s">
        <v>261</v>
      </c>
      <c r="I52" s="49" t="s">
        <v>262</v>
      </c>
      <c r="J52" s="49" t="s">
        <v>263</v>
      </c>
      <c r="K52" s="49" t="s">
        <v>264</v>
      </c>
      <c r="L52" s="50" t="s">
        <v>265</v>
      </c>
      <c r="M52" s="47" t="s">
        <v>191</v>
      </c>
      <c r="N52" s="54" t="s">
        <v>84</v>
      </c>
      <c r="O52" s="59" t="s">
        <v>69</v>
      </c>
      <c r="P52" s="42" t="s">
        <v>70</v>
      </c>
      <c r="Q52" s="61" t="s">
        <v>61</v>
      </c>
      <c r="R52" s="62" t="s">
        <v>71</v>
      </c>
      <c r="S52" s="49" t="s">
        <v>71</v>
      </c>
    </row>
    <row r="53" ht="111" customHeight="1" spans="1:19" x14ac:dyDescent="0.25">
      <c r="A53" s="33">
        <v>25</v>
      </c>
      <c r="B53" s="34" t="s">
        <v>266</v>
      </c>
      <c r="C53" s="35" t="s">
        <v>267</v>
      </c>
      <c r="D53" s="36" t="s">
        <v>210</v>
      </c>
      <c r="E53" s="37" t="s">
        <v>77</v>
      </c>
      <c r="F53" s="38" t="s">
        <v>78</v>
      </c>
      <c r="G53" s="35" t="s">
        <v>260</v>
      </c>
      <c r="H53" s="39" t="s">
        <v>268</v>
      </c>
      <c r="I53" s="35" t="s">
        <v>269</v>
      </c>
      <c r="J53" s="35" t="s">
        <v>270</v>
      </c>
      <c r="K53" s="35" t="s">
        <v>271</v>
      </c>
      <c r="L53" s="36" t="s">
        <v>272</v>
      </c>
      <c r="M53" s="33" t="s">
        <v>67</v>
      </c>
      <c r="N53" s="45" t="s">
        <v>84</v>
      </c>
      <c r="O53" s="41" t="s">
        <v>69</v>
      </c>
      <c r="P53" s="42" t="s">
        <v>70</v>
      </c>
      <c r="Q53" s="43" t="s">
        <v>61</v>
      </c>
      <c r="R53" s="44" t="s">
        <v>71</v>
      </c>
      <c r="S53" s="35" t="s">
        <v>71</v>
      </c>
    </row>
    <row r="54" ht="111" customHeight="1" spans="1:19" x14ac:dyDescent="0.25">
      <c r="A54" s="47">
        <v>26</v>
      </c>
      <c r="B54" s="48" t="s">
        <v>273</v>
      </c>
      <c r="C54" s="49" t="s">
        <v>274</v>
      </c>
      <c r="D54" s="50" t="s">
        <v>210</v>
      </c>
      <c r="E54" s="51" t="s">
        <v>77</v>
      </c>
      <c r="F54" s="52" t="s">
        <v>78</v>
      </c>
      <c r="G54" s="49" t="s">
        <v>61</v>
      </c>
      <c r="H54" s="53" t="s">
        <v>275</v>
      </c>
      <c r="I54" s="49" t="s">
        <v>276</v>
      </c>
      <c r="J54" s="49" t="s">
        <v>277</v>
      </c>
      <c r="K54" s="49" t="s">
        <v>278</v>
      </c>
      <c r="L54" s="50" t="s">
        <v>279</v>
      </c>
      <c r="M54" s="47" t="s">
        <v>191</v>
      </c>
      <c r="N54" s="54" t="s">
        <v>84</v>
      </c>
      <c r="O54" s="59" t="s">
        <v>69</v>
      </c>
      <c r="P54" s="42" t="s">
        <v>70</v>
      </c>
      <c r="Q54" s="61" t="s">
        <v>61</v>
      </c>
      <c r="R54" s="62" t="s">
        <v>71</v>
      </c>
      <c r="S54" s="49" t="s">
        <v>71</v>
      </c>
    </row>
    <row r="55" ht="141" customHeight="1" spans="1:19" x14ac:dyDescent="0.25">
      <c r="A55" s="33">
        <v>27</v>
      </c>
      <c r="B55" s="34" t="s">
        <v>280</v>
      </c>
      <c r="C55" s="35" t="s">
        <v>281</v>
      </c>
      <c r="D55" s="36" t="s">
        <v>210</v>
      </c>
      <c r="E55" s="37" t="s">
        <v>77</v>
      </c>
      <c r="F55" s="38" t="s">
        <v>78</v>
      </c>
      <c r="G55" s="35" t="s">
        <v>61</v>
      </c>
      <c r="H55" s="39" t="s">
        <v>282</v>
      </c>
      <c r="I55" s="35" t="s">
        <v>283</v>
      </c>
      <c r="J55" s="35" t="s">
        <v>284</v>
      </c>
      <c r="K55" s="35" t="s">
        <v>285</v>
      </c>
      <c r="L55" s="36" t="s">
        <v>286</v>
      </c>
      <c r="M55" s="33" t="s">
        <v>207</v>
      </c>
      <c r="N55" s="45" t="s">
        <v>84</v>
      </c>
      <c r="O55" s="41" t="s">
        <v>69</v>
      </c>
      <c r="P55" s="42" t="s">
        <v>70</v>
      </c>
      <c r="Q55" s="43" t="s">
        <v>61</v>
      </c>
      <c r="R55" s="44" t="s">
        <v>71</v>
      </c>
      <c r="S55" s="35" t="s">
        <v>71</v>
      </c>
    </row>
    <row r="56" ht="126" customHeight="1" spans="1:19" x14ac:dyDescent="0.25">
      <c r="A56" s="47">
        <v>28</v>
      </c>
      <c r="B56" s="48" t="s">
        <v>287</v>
      </c>
      <c r="C56" s="49" t="s">
        <v>288</v>
      </c>
      <c r="D56" s="50" t="s">
        <v>210</v>
      </c>
      <c r="E56" s="51" t="s">
        <v>77</v>
      </c>
      <c r="F56" s="52" t="s">
        <v>78</v>
      </c>
      <c r="G56" s="49" t="s">
        <v>61</v>
      </c>
      <c r="H56" s="53" t="s">
        <v>289</v>
      </c>
      <c r="I56" s="49" t="s">
        <v>290</v>
      </c>
      <c r="J56" s="49" t="s">
        <v>291</v>
      </c>
      <c r="K56" s="49" t="s">
        <v>292</v>
      </c>
      <c r="L56" s="50" t="s">
        <v>293</v>
      </c>
      <c r="M56" s="47" t="s">
        <v>207</v>
      </c>
      <c r="N56" s="54" t="s">
        <v>84</v>
      </c>
      <c r="O56" s="55" t="s">
        <v>95</v>
      </c>
      <c r="P56" s="42" t="s">
        <v>70</v>
      </c>
      <c r="Q56" s="61" t="s">
        <v>61</v>
      </c>
      <c r="R56" s="62" t="s">
        <v>71</v>
      </c>
      <c r="S56" s="49" t="s">
        <v>71</v>
      </c>
    </row>
    <row r="57" ht="111" customHeight="1" spans="1:19" x14ac:dyDescent="0.25">
      <c r="A57" s="33">
        <v>29</v>
      </c>
      <c r="B57" s="34" t="s">
        <v>294</v>
      </c>
      <c r="C57" s="35" t="s">
        <v>295</v>
      </c>
      <c r="D57" s="36" t="s">
        <v>210</v>
      </c>
      <c r="E57" s="37" t="s">
        <v>77</v>
      </c>
      <c r="F57" s="38" t="s">
        <v>78</v>
      </c>
      <c r="G57" s="35" t="s">
        <v>61</v>
      </c>
      <c r="H57" s="39" t="s">
        <v>296</v>
      </c>
      <c r="I57" s="35" t="s">
        <v>297</v>
      </c>
      <c r="J57" s="35" t="s">
        <v>298</v>
      </c>
      <c r="K57" s="35" t="s">
        <v>299</v>
      </c>
      <c r="L57" s="36" t="s">
        <v>300</v>
      </c>
      <c r="M57" s="33" t="s">
        <v>67</v>
      </c>
      <c r="N57" s="45" t="s">
        <v>84</v>
      </c>
      <c r="O57" s="41" t="s">
        <v>69</v>
      </c>
      <c r="P57" s="42" t="s">
        <v>70</v>
      </c>
      <c r="Q57" s="43" t="s">
        <v>61</v>
      </c>
      <c r="R57" s="44" t="s">
        <v>71</v>
      </c>
      <c r="S57" s="35" t="s">
        <v>71</v>
      </c>
    </row>
    <row r="58" ht="96" customHeight="1" spans="1:19" x14ac:dyDescent="0.25">
      <c r="A58" s="47">
        <v>30</v>
      </c>
      <c r="B58" s="48" t="s">
        <v>301</v>
      </c>
      <c r="C58" s="49" t="s">
        <v>302</v>
      </c>
      <c r="D58" s="50" t="s">
        <v>210</v>
      </c>
      <c r="E58" s="51" t="s">
        <v>77</v>
      </c>
      <c r="F58" s="52" t="s">
        <v>78</v>
      </c>
      <c r="G58" s="49" t="s">
        <v>61</v>
      </c>
      <c r="H58" s="53" t="s">
        <v>303</v>
      </c>
      <c r="I58" s="49" t="s">
        <v>304</v>
      </c>
      <c r="J58" s="49" t="s">
        <v>305</v>
      </c>
      <c r="K58" s="49" t="s">
        <v>306</v>
      </c>
      <c r="L58" s="50" t="s">
        <v>307</v>
      </c>
      <c r="M58" s="47" t="s">
        <v>67</v>
      </c>
      <c r="N58" s="54" t="s">
        <v>84</v>
      </c>
      <c r="O58" s="60" t="s">
        <v>85</v>
      </c>
      <c r="P58" s="42" t="s">
        <v>70</v>
      </c>
      <c r="Q58" s="61" t="s">
        <v>61</v>
      </c>
      <c r="R58" s="62" t="s">
        <v>71</v>
      </c>
      <c r="S58" s="49" t="s">
        <v>71</v>
      </c>
    </row>
    <row r="59" ht="96" customHeight="1" spans="1:19" x14ac:dyDescent="0.25">
      <c r="A59" s="33">
        <v>31</v>
      </c>
      <c r="B59" s="34" t="s">
        <v>308</v>
      </c>
      <c r="C59" s="35" t="s">
        <v>309</v>
      </c>
      <c r="D59" s="36" t="s">
        <v>210</v>
      </c>
      <c r="E59" s="37" t="s">
        <v>77</v>
      </c>
      <c r="F59" s="38" t="s">
        <v>78</v>
      </c>
      <c r="G59" s="35" t="s">
        <v>61</v>
      </c>
      <c r="H59" s="39" t="s">
        <v>310</v>
      </c>
      <c r="I59" s="35" t="s">
        <v>311</v>
      </c>
      <c r="J59" s="35" t="s">
        <v>312</v>
      </c>
      <c r="K59" s="35" t="s">
        <v>313</v>
      </c>
      <c r="L59" s="36" t="s">
        <v>314</v>
      </c>
      <c r="M59" s="33" t="s">
        <v>191</v>
      </c>
      <c r="N59" s="45" t="s">
        <v>84</v>
      </c>
      <c r="O59" s="46" t="s">
        <v>85</v>
      </c>
      <c r="P59" s="42" t="s">
        <v>70</v>
      </c>
      <c r="Q59" s="43" t="s">
        <v>61</v>
      </c>
      <c r="R59" s="44" t="s">
        <v>71</v>
      </c>
      <c r="S59" s="35" t="s">
        <v>71</v>
      </c>
    </row>
    <row r="60" ht="96" customHeight="1" spans="1:19" x14ac:dyDescent="0.25">
      <c r="A60" s="47">
        <v>32</v>
      </c>
      <c r="B60" s="48" t="s">
        <v>315</v>
      </c>
      <c r="C60" s="49" t="s">
        <v>316</v>
      </c>
      <c r="D60" s="50" t="s">
        <v>210</v>
      </c>
      <c r="E60" s="51" t="s">
        <v>77</v>
      </c>
      <c r="F60" s="52" t="s">
        <v>78</v>
      </c>
      <c r="G60" s="49" t="s">
        <v>61</v>
      </c>
      <c r="H60" s="53" t="s">
        <v>317</v>
      </c>
      <c r="I60" s="49" t="s">
        <v>318</v>
      </c>
      <c r="J60" s="49" t="s">
        <v>319</v>
      </c>
      <c r="K60" s="49" t="s">
        <v>320</v>
      </c>
      <c r="L60" s="50" t="s">
        <v>321</v>
      </c>
      <c r="M60" s="47" t="s">
        <v>191</v>
      </c>
      <c r="N60" s="54" t="s">
        <v>84</v>
      </c>
      <c r="O60" s="60" t="s">
        <v>85</v>
      </c>
      <c r="P60" s="42" t="s">
        <v>70</v>
      </c>
      <c r="Q60" s="61" t="s">
        <v>61</v>
      </c>
      <c r="R60" s="62" t="s">
        <v>71</v>
      </c>
      <c r="S60" s="49" t="s">
        <v>71</v>
      </c>
    </row>
    <row r="61" ht="126" customHeight="1" spans="1:19" x14ac:dyDescent="0.25">
      <c r="A61" s="33">
        <v>33</v>
      </c>
      <c r="B61" s="34" t="s">
        <v>322</v>
      </c>
      <c r="C61" s="35" t="s">
        <v>323</v>
      </c>
      <c r="D61" s="36" t="s">
        <v>210</v>
      </c>
      <c r="E61" s="37" t="s">
        <v>77</v>
      </c>
      <c r="F61" s="38" t="s">
        <v>78</v>
      </c>
      <c r="G61" s="35" t="s">
        <v>61</v>
      </c>
      <c r="H61" s="39" t="s">
        <v>324</v>
      </c>
      <c r="I61" s="35" t="s">
        <v>325</v>
      </c>
      <c r="J61" s="35" t="s">
        <v>326</v>
      </c>
      <c r="K61" s="35" t="s">
        <v>327</v>
      </c>
      <c r="L61" s="36" t="s">
        <v>328</v>
      </c>
      <c r="M61" s="33" t="s">
        <v>67</v>
      </c>
      <c r="N61" s="45" t="s">
        <v>84</v>
      </c>
      <c r="O61" s="46" t="s">
        <v>85</v>
      </c>
      <c r="P61" s="42" t="s">
        <v>70</v>
      </c>
      <c r="Q61" s="43" t="s">
        <v>61</v>
      </c>
      <c r="R61" s="44" t="s">
        <v>71</v>
      </c>
      <c r="S61" s="35" t="s">
        <v>71</v>
      </c>
    </row>
    <row r="62" ht="96" customHeight="1" spans="1:19" x14ac:dyDescent="0.25">
      <c r="A62" s="47">
        <v>34</v>
      </c>
      <c r="B62" s="48" t="s">
        <v>329</v>
      </c>
      <c r="C62" s="49" t="s">
        <v>330</v>
      </c>
      <c r="D62" s="50" t="s">
        <v>210</v>
      </c>
      <c r="E62" s="51" t="s">
        <v>77</v>
      </c>
      <c r="F62" s="52" t="s">
        <v>78</v>
      </c>
      <c r="G62" s="49" t="s">
        <v>61</v>
      </c>
      <c r="H62" s="53" t="s">
        <v>331</v>
      </c>
      <c r="I62" s="49" t="s">
        <v>332</v>
      </c>
      <c r="J62" s="49" t="s">
        <v>333</v>
      </c>
      <c r="K62" s="49" t="s">
        <v>334</v>
      </c>
      <c r="L62" s="50" t="s">
        <v>335</v>
      </c>
      <c r="M62" s="47" t="s">
        <v>67</v>
      </c>
      <c r="N62" s="54" t="s">
        <v>84</v>
      </c>
      <c r="O62" s="60" t="s">
        <v>85</v>
      </c>
      <c r="P62" s="42" t="s">
        <v>70</v>
      </c>
      <c r="Q62" s="61" t="s">
        <v>61</v>
      </c>
      <c r="R62" s="62" t="s">
        <v>71</v>
      </c>
      <c r="S62" s="49" t="s">
        <v>71</v>
      </c>
    </row>
    <row r="63" ht="81" customHeight="1" spans="1:19" x14ac:dyDescent="0.25">
      <c r="A63" s="33">
        <v>35</v>
      </c>
      <c r="B63" s="34" t="s">
        <v>336</v>
      </c>
      <c r="C63" s="35" t="s">
        <v>337</v>
      </c>
      <c r="D63" s="36" t="s">
        <v>210</v>
      </c>
      <c r="E63" s="37" t="s">
        <v>77</v>
      </c>
      <c r="F63" s="38" t="s">
        <v>78</v>
      </c>
      <c r="G63" s="35" t="s">
        <v>61</v>
      </c>
      <c r="H63" s="39" t="s">
        <v>338</v>
      </c>
      <c r="I63" s="35" t="s">
        <v>339</v>
      </c>
      <c r="J63" s="35" t="s">
        <v>340</v>
      </c>
      <c r="K63" s="35" t="s">
        <v>341</v>
      </c>
      <c r="L63" s="36" t="s">
        <v>342</v>
      </c>
      <c r="M63" s="33" t="s">
        <v>67</v>
      </c>
      <c r="N63" s="45" t="s">
        <v>84</v>
      </c>
      <c r="O63" s="41" t="s">
        <v>69</v>
      </c>
      <c r="P63" s="42" t="s">
        <v>70</v>
      </c>
      <c r="Q63" s="43" t="s">
        <v>61</v>
      </c>
      <c r="R63" s="44" t="s">
        <v>71</v>
      </c>
      <c r="S63" s="35" t="s">
        <v>71</v>
      </c>
    </row>
    <row r="64" ht="96" customHeight="1" spans="1:19" x14ac:dyDescent="0.25">
      <c r="A64" s="47">
        <v>36</v>
      </c>
      <c r="B64" s="48" t="s">
        <v>343</v>
      </c>
      <c r="C64" s="49" t="s">
        <v>344</v>
      </c>
      <c r="D64" s="50" t="s">
        <v>210</v>
      </c>
      <c r="E64" s="51" t="s">
        <v>77</v>
      </c>
      <c r="F64" s="52" t="s">
        <v>78</v>
      </c>
      <c r="G64" s="49" t="s">
        <v>61</v>
      </c>
      <c r="H64" s="53" t="s">
        <v>345</v>
      </c>
      <c r="I64" s="49" t="s">
        <v>346</v>
      </c>
      <c r="J64" s="49" t="s">
        <v>347</v>
      </c>
      <c r="K64" s="49" t="s">
        <v>348</v>
      </c>
      <c r="L64" s="50" t="s">
        <v>349</v>
      </c>
      <c r="M64" s="47" t="s">
        <v>67</v>
      </c>
      <c r="N64" s="54" t="s">
        <v>84</v>
      </c>
      <c r="O64" s="60" t="s">
        <v>85</v>
      </c>
      <c r="P64" s="42" t="s">
        <v>70</v>
      </c>
      <c r="Q64" s="61" t="s">
        <v>61</v>
      </c>
      <c r="R64" s="62" t="s">
        <v>71</v>
      </c>
      <c r="S64" s="49" t="s">
        <v>71</v>
      </c>
    </row>
    <row r="65" ht="141" customHeight="1" spans="1:19" x14ac:dyDescent="0.25">
      <c r="A65" s="33">
        <v>37</v>
      </c>
      <c r="B65" s="34" t="s">
        <v>350</v>
      </c>
      <c r="C65" s="35" t="s">
        <v>351</v>
      </c>
      <c r="D65" s="36" t="s">
        <v>210</v>
      </c>
      <c r="E65" s="37" t="s">
        <v>77</v>
      </c>
      <c r="F65" s="38" t="s">
        <v>78</v>
      </c>
      <c r="G65" s="35" t="s">
        <v>352</v>
      </c>
      <c r="H65" s="39" t="s">
        <v>353</v>
      </c>
      <c r="I65" s="35" t="s">
        <v>354</v>
      </c>
      <c r="J65" s="35" t="s">
        <v>355</v>
      </c>
      <c r="K65" s="35" t="s">
        <v>356</v>
      </c>
      <c r="L65" s="36" t="s">
        <v>357</v>
      </c>
      <c r="M65" s="33" t="s">
        <v>191</v>
      </c>
      <c r="N65" s="45" t="s">
        <v>84</v>
      </c>
      <c r="O65" s="46" t="s">
        <v>85</v>
      </c>
      <c r="P65" s="56" t="s">
        <v>96</v>
      </c>
      <c r="Q65" s="58" t="s">
        <v>358</v>
      </c>
      <c r="R65" s="58" t="s">
        <v>359</v>
      </c>
      <c r="S65" s="35" t="s">
        <v>71</v>
      </c>
    </row>
    <row r="66" ht="96" customHeight="1" spans="1:19" x14ac:dyDescent="0.25">
      <c r="A66" s="47">
        <v>38</v>
      </c>
      <c r="B66" s="48" t="s">
        <v>360</v>
      </c>
      <c r="C66" s="49" t="s">
        <v>361</v>
      </c>
      <c r="D66" s="50" t="s">
        <v>210</v>
      </c>
      <c r="E66" s="51" t="s">
        <v>77</v>
      </c>
      <c r="F66" s="52" t="s">
        <v>78</v>
      </c>
      <c r="G66" s="49" t="s">
        <v>61</v>
      </c>
      <c r="H66" s="53" t="s">
        <v>362</v>
      </c>
      <c r="I66" s="49" t="s">
        <v>363</v>
      </c>
      <c r="J66" s="49" t="s">
        <v>364</v>
      </c>
      <c r="K66" s="49" t="s">
        <v>365</v>
      </c>
      <c r="L66" s="50" t="s">
        <v>366</v>
      </c>
      <c r="M66" s="47" t="s">
        <v>67</v>
      </c>
      <c r="N66" s="54" t="s">
        <v>84</v>
      </c>
      <c r="O66" s="65" t="s">
        <v>367</v>
      </c>
      <c r="P66" s="42" t="s">
        <v>70</v>
      </c>
      <c r="Q66" s="61" t="s">
        <v>61</v>
      </c>
      <c r="R66" s="62" t="s">
        <v>71</v>
      </c>
      <c r="S66" s="49" t="s">
        <v>71</v>
      </c>
    </row>
    <row r="67" ht="66" customHeight="1" spans="1:19" x14ac:dyDescent="0.25">
      <c r="A67" s="33">
        <v>39</v>
      </c>
      <c r="B67" s="34" t="s">
        <v>368</v>
      </c>
      <c r="C67" s="35" t="s">
        <v>369</v>
      </c>
      <c r="D67" s="36" t="s">
        <v>210</v>
      </c>
      <c r="E67" s="37" t="s">
        <v>77</v>
      </c>
      <c r="F67" s="38" t="s">
        <v>78</v>
      </c>
      <c r="G67" s="35" t="s">
        <v>61</v>
      </c>
      <c r="H67" s="39" t="s">
        <v>370</v>
      </c>
      <c r="I67" s="35" t="s">
        <v>371</v>
      </c>
      <c r="J67" s="35" t="s">
        <v>372</v>
      </c>
      <c r="K67" s="35" t="s">
        <v>373</v>
      </c>
      <c r="L67" s="36" t="s">
        <v>374</v>
      </c>
      <c r="M67" s="33" t="s">
        <v>191</v>
      </c>
      <c r="N67" s="45" t="s">
        <v>84</v>
      </c>
      <c r="O67" s="66" t="s">
        <v>367</v>
      </c>
      <c r="P67" s="42" t="s">
        <v>70</v>
      </c>
      <c r="Q67" s="43" t="s">
        <v>61</v>
      </c>
      <c r="R67" s="44" t="s">
        <v>71</v>
      </c>
      <c r="S67" s="35" t="s">
        <v>71</v>
      </c>
    </row>
    <row r="68" ht="81" customHeight="1" spans="1:19" x14ac:dyDescent="0.25">
      <c r="A68" s="47">
        <v>40</v>
      </c>
      <c r="B68" s="48" t="s">
        <v>375</v>
      </c>
      <c r="C68" s="49" t="s">
        <v>376</v>
      </c>
      <c r="D68" s="50" t="s">
        <v>210</v>
      </c>
      <c r="E68" s="51" t="s">
        <v>77</v>
      </c>
      <c r="F68" s="52" t="s">
        <v>78</v>
      </c>
      <c r="G68" s="49" t="s">
        <v>61</v>
      </c>
      <c r="H68" s="53" t="s">
        <v>377</v>
      </c>
      <c r="I68" s="49" t="s">
        <v>378</v>
      </c>
      <c r="J68" s="49" t="s">
        <v>379</v>
      </c>
      <c r="K68" s="49" t="s">
        <v>380</v>
      </c>
      <c r="L68" s="50" t="s">
        <v>381</v>
      </c>
      <c r="M68" s="47" t="s">
        <v>67</v>
      </c>
      <c r="N68" s="54" t="s">
        <v>84</v>
      </c>
      <c r="O68" s="59" t="s">
        <v>69</v>
      </c>
      <c r="P68" s="42" t="s">
        <v>70</v>
      </c>
      <c r="Q68" s="61" t="s">
        <v>61</v>
      </c>
      <c r="R68" s="62" t="s">
        <v>71</v>
      </c>
      <c r="S68" s="49" t="s">
        <v>71</v>
      </c>
    </row>
    <row r="69" ht="96" customHeight="1" spans="1:19" x14ac:dyDescent="0.25">
      <c r="A69" s="33">
        <v>41</v>
      </c>
      <c r="B69" s="34" t="s">
        <v>382</v>
      </c>
      <c r="C69" s="35" t="s">
        <v>383</v>
      </c>
      <c r="D69" s="36" t="s">
        <v>210</v>
      </c>
      <c r="E69" s="37" t="s">
        <v>77</v>
      </c>
      <c r="F69" s="38" t="s">
        <v>78</v>
      </c>
      <c r="G69" s="35" t="s">
        <v>61</v>
      </c>
      <c r="H69" s="39" t="s">
        <v>384</v>
      </c>
      <c r="I69" s="35" t="s">
        <v>385</v>
      </c>
      <c r="J69" s="35" t="s">
        <v>386</v>
      </c>
      <c r="K69" s="35" t="s">
        <v>387</v>
      </c>
      <c r="L69" s="36" t="s">
        <v>388</v>
      </c>
      <c r="M69" s="33" t="s">
        <v>67</v>
      </c>
      <c r="N69" s="45" t="s">
        <v>84</v>
      </c>
      <c r="O69" s="46" t="s">
        <v>85</v>
      </c>
      <c r="P69" s="42" t="s">
        <v>70</v>
      </c>
      <c r="Q69" s="43" t="s">
        <v>61</v>
      </c>
      <c r="R69" s="44" t="s">
        <v>71</v>
      </c>
      <c r="S69" s="35" t="s">
        <v>71</v>
      </c>
    </row>
    <row r="70" ht="111" customHeight="1" spans="1:19" x14ac:dyDescent="0.25">
      <c r="A70" s="47">
        <v>42</v>
      </c>
      <c r="B70" s="48" t="s">
        <v>389</v>
      </c>
      <c r="C70" s="49" t="s">
        <v>390</v>
      </c>
      <c r="D70" s="50" t="s">
        <v>391</v>
      </c>
      <c r="E70" s="51" t="s">
        <v>77</v>
      </c>
      <c r="F70" s="52" t="s">
        <v>78</v>
      </c>
      <c r="G70" s="49" t="s">
        <v>61</v>
      </c>
      <c r="H70" s="53" t="s">
        <v>211</v>
      </c>
      <c r="I70" s="49" t="s">
        <v>392</v>
      </c>
      <c r="J70" s="49" t="s">
        <v>393</v>
      </c>
      <c r="K70" s="49" t="s">
        <v>394</v>
      </c>
      <c r="L70" s="50" t="s">
        <v>395</v>
      </c>
      <c r="M70" s="47" t="s">
        <v>67</v>
      </c>
      <c r="N70" s="63" t="s">
        <v>68</v>
      </c>
      <c r="O70" s="55" t="s">
        <v>95</v>
      </c>
      <c r="P70" s="42" t="s">
        <v>70</v>
      </c>
      <c r="Q70" s="61" t="s">
        <v>61</v>
      </c>
      <c r="R70" s="62" t="s">
        <v>71</v>
      </c>
      <c r="S70" s="49" t="s">
        <v>71</v>
      </c>
    </row>
    <row r="71" ht="141" customHeight="1" spans="1:19" x14ac:dyDescent="0.25">
      <c r="A71" s="33">
        <v>43</v>
      </c>
      <c r="B71" s="34" t="s">
        <v>396</v>
      </c>
      <c r="C71" s="35" t="s">
        <v>397</v>
      </c>
      <c r="D71" s="36" t="s">
        <v>391</v>
      </c>
      <c r="E71" s="37" t="s">
        <v>77</v>
      </c>
      <c r="F71" s="38" t="s">
        <v>78</v>
      </c>
      <c r="G71" s="35" t="s">
        <v>398</v>
      </c>
      <c r="H71" s="39" t="s">
        <v>399</v>
      </c>
      <c r="I71" s="35" t="s">
        <v>400</v>
      </c>
      <c r="J71" s="35" t="s">
        <v>401</v>
      </c>
      <c r="K71" s="35" t="s">
        <v>402</v>
      </c>
      <c r="L71" s="36" t="s">
        <v>403</v>
      </c>
      <c r="M71" s="33" t="s">
        <v>88</v>
      </c>
      <c r="N71" s="40" t="s">
        <v>68</v>
      </c>
      <c r="O71" s="64" t="s">
        <v>95</v>
      </c>
      <c r="P71" s="56" t="s">
        <v>96</v>
      </c>
      <c r="Q71" s="58" t="s">
        <v>97</v>
      </c>
      <c r="R71" s="58" t="s">
        <v>98</v>
      </c>
      <c r="S71" s="35" t="s">
        <v>71</v>
      </c>
    </row>
    <row r="73" ht="28" customHeight="1" spans="1:19" x14ac:dyDescent="0.25">
      <c r="A73" s="30" t="s">
        <v>404</v>
      </c>
      <c r="B73" s="30"/>
      <c r="C73" s="30"/>
      <c r="D73" s="30"/>
      <c r="E73" s="30"/>
      <c r="F73" s="30"/>
      <c r="G73" s="30"/>
      <c r="H73" s="30"/>
      <c r="I73" s="30"/>
      <c r="J73" s="30"/>
      <c r="K73" s="30"/>
      <c r="L73" s="30"/>
      <c r="M73" s="30"/>
      <c r="N73" s="30"/>
      <c r="O73" s="30"/>
      <c r="P73" s="30"/>
      <c r="Q73" s="30"/>
      <c r="R73" s="30"/>
      <c r="S73" s="31" t="str">
        <f>HYPERLINK("#'Test Cases'!A5","↑ Summary")</f>
        <v>↑ Summary</v>
      </c>
    </row>
    <row r="74" ht="18" customHeight="1" spans="1:19" x14ac:dyDescent="0.25">
      <c r="A74" s="32" t="s">
        <v>405</v>
      </c>
      <c r="B74" s="32"/>
      <c r="C74" s="32"/>
      <c r="D74" s="32"/>
      <c r="E74" s="32"/>
      <c r="F74" s="32"/>
      <c r="G74" s="32"/>
      <c r="H74" s="32"/>
      <c r="I74" s="32"/>
      <c r="J74" s="32"/>
      <c r="K74" s="32"/>
      <c r="L74" s="32"/>
      <c r="M74" s="32"/>
      <c r="N74" s="32"/>
      <c r="O74" s="32"/>
      <c r="P74" s="32"/>
      <c r="Q74" s="32"/>
      <c r="R74" s="32"/>
      <c r="S74" s="32"/>
    </row>
    <row r="75" ht="30" customHeight="1" spans="1:19" x14ac:dyDescent="0.25">
      <c r="A75" s="11" t="s">
        <v>38</v>
      </c>
      <c r="B75" s="11" t="s">
        <v>39</v>
      </c>
      <c r="C75" s="11" t="s">
        <v>40</v>
      </c>
      <c r="D75" s="11" t="s">
        <v>41</v>
      </c>
      <c r="E75" s="11" t="s">
        <v>12</v>
      </c>
      <c r="F75" s="11" t="s">
        <v>42</v>
      </c>
      <c r="G75" s="11" t="s">
        <v>43</v>
      </c>
      <c r="H75" s="11" t="s">
        <v>44</v>
      </c>
      <c r="I75" s="11" t="s">
        <v>45</v>
      </c>
      <c r="J75" s="11" t="s">
        <v>46</v>
      </c>
      <c r="K75" s="11" t="s">
        <v>47</v>
      </c>
      <c r="L75" s="11" t="s">
        <v>48</v>
      </c>
      <c r="M75" s="11" t="s">
        <v>49</v>
      </c>
      <c r="N75" s="11" t="s">
        <v>50</v>
      </c>
      <c r="O75" s="11" t="s">
        <v>51</v>
      </c>
      <c r="P75" s="11" t="s">
        <v>52</v>
      </c>
      <c r="Q75" s="11" t="s">
        <v>53</v>
      </c>
      <c r="R75" s="11" t="s">
        <v>54</v>
      </c>
      <c r="S75" s="11" t="s">
        <v>55</v>
      </c>
    </row>
    <row r="76" ht="96" customHeight="1" spans="1:19" x14ac:dyDescent="0.25">
      <c r="A76" s="33">
        <v>1</v>
      </c>
      <c r="B76" s="34" t="s">
        <v>406</v>
      </c>
      <c r="C76" s="35" t="s">
        <v>407</v>
      </c>
      <c r="D76" s="36" t="s">
        <v>408</v>
      </c>
      <c r="E76" s="37" t="s">
        <v>409</v>
      </c>
      <c r="F76" s="38" t="s">
        <v>78</v>
      </c>
      <c r="G76" s="35" t="s">
        <v>61</v>
      </c>
      <c r="H76" s="39" t="s">
        <v>410</v>
      </c>
      <c r="I76" s="35" t="s">
        <v>411</v>
      </c>
      <c r="J76" s="35" t="s">
        <v>412</v>
      </c>
      <c r="K76" s="35" t="s">
        <v>413</v>
      </c>
      <c r="L76" s="36" t="s">
        <v>414</v>
      </c>
      <c r="M76" s="33" t="s">
        <v>67</v>
      </c>
      <c r="N76" s="40" t="s">
        <v>68</v>
      </c>
      <c r="O76" s="64" t="s">
        <v>95</v>
      </c>
      <c r="P76" s="42" t="s">
        <v>70</v>
      </c>
      <c r="Q76" s="43" t="s">
        <v>61</v>
      </c>
      <c r="R76" s="44" t="s">
        <v>71</v>
      </c>
      <c r="S76" s="35" t="s">
        <v>71</v>
      </c>
    </row>
    <row r="77" ht="111" customHeight="1" spans="1:19" x14ac:dyDescent="0.25">
      <c r="A77" s="47">
        <v>2</v>
      </c>
      <c r="B77" s="48" t="s">
        <v>415</v>
      </c>
      <c r="C77" s="49" t="s">
        <v>416</v>
      </c>
      <c r="D77" s="50" t="s">
        <v>408</v>
      </c>
      <c r="E77" s="51" t="s">
        <v>409</v>
      </c>
      <c r="F77" s="52" t="s">
        <v>78</v>
      </c>
      <c r="G77" s="49" t="s">
        <v>260</v>
      </c>
      <c r="H77" s="53" t="s">
        <v>417</v>
      </c>
      <c r="I77" s="49" t="s">
        <v>418</v>
      </c>
      <c r="J77" s="49" t="s">
        <v>419</v>
      </c>
      <c r="K77" s="49" t="s">
        <v>420</v>
      </c>
      <c r="L77" s="50" t="s">
        <v>421</v>
      </c>
      <c r="M77" s="47" t="s">
        <v>67</v>
      </c>
      <c r="N77" s="54" t="s">
        <v>84</v>
      </c>
      <c r="O77" s="60" t="s">
        <v>85</v>
      </c>
      <c r="P77" s="42" t="s">
        <v>70</v>
      </c>
      <c r="Q77" s="61" t="s">
        <v>61</v>
      </c>
      <c r="R77" s="62" t="s">
        <v>71</v>
      </c>
      <c r="S77" s="49" t="s">
        <v>71</v>
      </c>
    </row>
    <row r="78" ht="96" customHeight="1" spans="1:19" x14ac:dyDescent="0.25">
      <c r="A78" s="33">
        <v>3</v>
      </c>
      <c r="B78" s="34" t="s">
        <v>422</v>
      </c>
      <c r="C78" s="35" t="s">
        <v>423</v>
      </c>
      <c r="D78" s="36" t="s">
        <v>408</v>
      </c>
      <c r="E78" s="37" t="s">
        <v>409</v>
      </c>
      <c r="F78" s="38" t="s">
        <v>78</v>
      </c>
      <c r="G78" s="35" t="s">
        <v>61</v>
      </c>
      <c r="H78" s="39" t="s">
        <v>424</v>
      </c>
      <c r="I78" s="35" t="s">
        <v>425</v>
      </c>
      <c r="J78" s="35" t="s">
        <v>426</v>
      </c>
      <c r="K78" s="35" t="s">
        <v>427</v>
      </c>
      <c r="L78" s="36" t="s">
        <v>428</v>
      </c>
      <c r="M78" s="33" t="s">
        <v>191</v>
      </c>
      <c r="N78" s="45" t="s">
        <v>84</v>
      </c>
      <c r="O78" s="41" t="s">
        <v>69</v>
      </c>
      <c r="P78" s="42" t="s">
        <v>70</v>
      </c>
      <c r="Q78" s="43" t="s">
        <v>61</v>
      </c>
      <c r="R78" s="44" t="s">
        <v>71</v>
      </c>
      <c r="S78" s="35" t="s">
        <v>71</v>
      </c>
    </row>
    <row r="79" ht="81" customHeight="1" spans="1:19" x14ac:dyDescent="0.25">
      <c r="A79" s="47">
        <v>4</v>
      </c>
      <c r="B79" s="48" t="s">
        <v>429</v>
      </c>
      <c r="C79" s="49" t="s">
        <v>430</v>
      </c>
      <c r="D79" s="50" t="s">
        <v>408</v>
      </c>
      <c r="E79" s="51" t="s">
        <v>409</v>
      </c>
      <c r="F79" s="52" t="s">
        <v>78</v>
      </c>
      <c r="G79" s="49" t="s">
        <v>61</v>
      </c>
      <c r="H79" s="53" t="s">
        <v>431</v>
      </c>
      <c r="I79" s="49" t="s">
        <v>432</v>
      </c>
      <c r="J79" s="49" t="s">
        <v>433</v>
      </c>
      <c r="K79" s="49" t="s">
        <v>434</v>
      </c>
      <c r="L79" s="50" t="s">
        <v>435</v>
      </c>
      <c r="M79" s="47" t="s">
        <v>191</v>
      </c>
      <c r="N79" s="54" t="s">
        <v>84</v>
      </c>
      <c r="O79" s="60" t="s">
        <v>85</v>
      </c>
      <c r="P79" s="42" t="s">
        <v>70</v>
      </c>
      <c r="Q79" s="61" t="s">
        <v>61</v>
      </c>
      <c r="R79" s="62" t="s">
        <v>71</v>
      </c>
      <c r="S79" s="49" t="s">
        <v>71</v>
      </c>
    </row>
    <row r="80" ht="66" customHeight="1" spans="1:19" x14ac:dyDescent="0.25">
      <c r="A80" s="33">
        <v>5</v>
      </c>
      <c r="B80" s="34" t="s">
        <v>436</v>
      </c>
      <c r="C80" s="35" t="s">
        <v>437</v>
      </c>
      <c r="D80" s="36" t="s">
        <v>408</v>
      </c>
      <c r="E80" s="37" t="s">
        <v>409</v>
      </c>
      <c r="F80" s="38" t="s">
        <v>78</v>
      </c>
      <c r="G80" s="35" t="s">
        <v>61</v>
      </c>
      <c r="H80" s="39" t="s">
        <v>438</v>
      </c>
      <c r="I80" s="35" t="s">
        <v>439</v>
      </c>
      <c r="J80" s="35" t="s">
        <v>440</v>
      </c>
      <c r="K80" s="35" t="s">
        <v>256</v>
      </c>
      <c r="L80" s="36" t="s">
        <v>441</v>
      </c>
      <c r="M80" s="33" t="s">
        <v>191</v>
      </c>
      <c r="N80" s="45" t="s">
        <v>84</v>
      </c>
      <c r="O80" s="46" t="s">
        <v>85</v>
      </c>
      <c r="P80" s="42" t="s">
        <v>70</v>
      </c>
      <c r="Q80" s="43" t="s">
        <v>61</v>
      </c>
      <c r="R80" s="44" t="s">
        <v>71</v>
      </c>
      <c r="S80" s="35" t="s">
        <v>71</v>
      </c>
    </row>
    <row r="81" ht="96" customHeight="1" spans="1:19" x14ac:dyDescent="0.25">
      <c r="A81" s="47">
        <v>6</v>
      </c>
      <c r="B81" s="48" t="s">
        <v>442</v>
      </c>
      <c r="C81" s="49" t="s">
        <v>443</v>
      </c>
      <c r="D81" s="50" t="s">
        <v>408</v>
      </c>
      <c r="E81" s="51" t="s">
        <v>409</v>
      </c>
      <c r="F81" s="52" t="s">
        <v>78</v>
      </c>
      <c r="G81" s="49" t="s">
        <v>61</v>
      </c>
      <c r="H81" s="53" t="s">
        <v>444</v>
      </c>
      <c r="I81" s="49" t="s">
        <v>445</v>
      </c>
      <c r="J81" s="49" t="s">
        <v>446</v>
      </c>
      <c r="K81" s="49" t="s">
        <v>447</v>
      </c>
      <c r="L81" s="50" t="s">
        <v>448</v>
      </c>
      <c r="M81" s="47" t="s">
        <v>67</v>
      </c>
      <c r="N81" s="54" t="s">
        <v>84</v>
      </c>
      <c r="O81" s="59" t="s">
        <v>69</v>
      </c>
      <c r="P81" s="42" t="s">
        <v>70</v>
      </c>
      <c r="Q81" s="61" t="s">
        <v>61</v>
      </c>
      <c r="R81" s="62" t="s">
        <v>71</v>
      </c>
      <c r="S81" s="49" t="s">
        <v>71</v>
      </c>
    </row>
    <row r="82" ht="81" customHeight="1" spans="1:19" x14ac:dyDescent="0.25">
      <c r="A82" s="33">
        <v>7</v>
      </c>
      <c r="B82" s="34" t="s">
        <v>449</v>
      </c>
      <c r="C82" s="35" t="s">
        <v>450</v>
      </c>
      <c r="D82" s="36" t="s">
        <v>408</v>
      </c>
      <c r="E82" s="37" t="s">
        <v>409</v>
      </c>
      <c r="F82" s="38" t="s">
        <v>78</v>
      </c>
      <c r="G82" s="35" t="s">
        <v>61</v>
      </c>
      <c r="H82" s="39" t="s">
        <v>451</v>
      </c>
      <c r="I82" s="35" t="s">
        <v>452</v>
      </c>
      <c r="J82" s="35" t="s">
        <v>453</v>
      </c>
      <c r="K82" s="35" t="s">
        <v>454</v>
      </c>
      <c r="L82" s="36" t="s">
        <v>455</v>
      </c>
      <c r="M82" s="33" t="s">
        <v>191</v>
      </c>
      <c r="N82" s="45" t="s">
        <v>84</v>
      </c>
      <c r="O82" s="41" t="s">
        <v>69</v>
      </c>
      <c r="P82" s="42" t="s">
        <v>70</v>
      </c>
      <c r="Q82" s="43" t="s">
        <v>61</v>
      </c>
      <c r="R82" s="44" t="s">
        <v>71</v>
      </c>
      <c r="S82" s="35" t="s">
        <v>71</v>
      </c>
    </row>
    <row r="83" ht="66" customHeight="1" spans="1:19" x14ac:dyDescent="0.25">
      <c r="A83" s="47">
        <v>8</v>
      </c>
      <c r="B83" s="48" t="s">
        <v>456</v>
      </c>
      <c r="C83" s="49" t="s">
        <v>457</v>
      </c>
      <c r="D83" s="50" t="s">
        <v>408</v>
      </c>
      <c r="E83" s="51" t="s">
        <v>409</v>
      </c>
      <c r="F83" s="52" t="s">
        <v>78</v>
      </c>
      <c r="G83" s="49" t="s">
        <v>61</v>
      </c>
      <c r="H83" s="53" t="s">
        <v>458</v>
      </c>
      <c r="I83" s="49" t="s">
        <v>459</v>
      </c>
      <c r="J83" s="49" t="s">
        <v>460</v>
      </c>
      <c r="K83" s="49" t="s">
        <v>461</v>
      </c>
      <c r="L83" s="50" t="s">
        <v>462</v>
      </c>
      <c r="M83" s="47" t="s">
        <v>67</v>
      </c>
      <c r="N83" s="54" t="s">
        <v>84</v>
      </c>
      <c r="O83" s="65" t="s">
        <v>367</v>
      </c>
      <c r="P83" s="42" t="s">
        <v>70</v>
      </c>
      <c r="Q83" s="61" t="s">
        <v>61</v>
      </c>
      <c r="R83" s="62" t="s">
        <v>71</v>
      </c>
      <c r="S83" s="49" t="s">
        <v>71</v>
      </c>
    </row>
    <row r="84" ht="111" customHeight="1" spans="1:19" x14ac:dyDescent="0.25">
      <c r="A84" s="33">
        <v>9</v>
      </c>
      <c r="B84" s="34" t="s">
        <v>463</v>
      </c>
      <c r="C84" s="35" t="s">
        <v>464</v>
      </c>
      <c r="D84" s="36" t="s">
        <v>408</v>
      </c>
      <c r="E84" s="37" t="s">
        <v>409</v>
      </c>
      <c r="F84" s="38" t="s">
        <v>78</v>
      </c>
      <c r="G84" s="35" t="s">
        <v>61</v>
      </c>
      <c r="H84" s="39" t="s">
        <v>465</v>
      </c>
      <c r="I84" s="35" t="s">
        <v>466</v>
      </c>
      <c r="J84" s="35" t="s">
        <v>467</v>
      </c>
      <c r="K84" s="35" t="s">
        <v>468</v>
      </c>
      <c r="L84" s="36" t="s">
        <v>469</v>
      </c>
      <c r="M84" s="33" t="s">
        <v>191</v>
      </c>
      <c r="N84" s="45" t="s">
        <v>84</v>
      </c>
      <c r="O84" s="46" t="s">
        <v>85</v>
      </c>
      <c r="P84" s="42" t="s">
        <v>70</v>
      </c>
      <c r="Q84" s="43" t="s">
        <v>61</v>
      </c>
      <c r="R84" s="44" t="s">
        <v>71</v>
      </c>
      <c r="S84" s="35" t="s">
        <v>71</v>
      </c>
    </row>
    <row r="85" ht="96" customHeight="1" spans="1:19" x14ac:dyDescent="0.25">
      <c r="A85" s="47">
        <v>10</v>
      </c>
      <c r="B85" s="48" t="s">
        <v>470</v>
      </c>
      <c r="C85" s="49" t="s">
        <v>471</v>
      </c>
      <c r="D85" s="50" t="s">
        <v>391</v>
      </c>
      <c r="E85" s="51" t="s">
        <v>409</v>
      </c>
      <c r="F85" s="52" t="s">
        <v>78</v>
      </c>
      <c r="G85" s="49" t="s">
        <v>61</v>
      </c>
      <c r="H85" s="53" t="s">
        <v>171</v>
      </c>
      <c r="I85" s="49" t="s">
        <v>472</v>
      </c>
      <c r="J85" s="49" t="s">
        <v>473</v>
      </c>
      <c r="K85" s="49" t="s">
        <v>474</v>
      </c>
      <c r="L85" s="50" t="s">
        <v>475</v>
      </c>
      <c r="M85" s="47" t="s">
        <v>67</v>
      </c>
      <c r="N85" s="63" t="s">
        <v>68</v>
      </c>
      <c r="O85" s="55" t="s">
        <v>95</v>
      </c>
      <c r="P85" s="42" t="s">
        <v>70</v>
      </c>
      <c r="Q85" s="61" t="s">
        <v>61</v>
      </c>
      <c r="R85" s="62" t="s">
        <v>71</v>
      </c>
      <c r="S85" s="49" t="s">
        <v>71</v>
      </c>
    </row>
    <row r="87" ht="28" customHeight="1" spans="1:19" x14ac:dyDescent="0.25">
      <c r="A87" s="30" t="s">
        <v>476</v>
      </c>
      <c r="B87" s="30"/>
      <c r="C87" s="30"/>
      <c r="D87" s="30"/>
      <c r="E87" s="30"/>
      <c r="F87" s="30"/>
      <c r="G87" s="30"/>
      <c r="H87" s="30"/>
      <c r="I87" s="30"/>
      <c r="J87" s="30"/>
      <c r="K87" s="30"/>
      <c r="L87" s="30"/>
      <c r="M87" s="30"/>
      <c r="N87" s="30"/>
      <c r="O87" s="30"/>
      <c r="P87" s="30"/>
      <c r="Q87" s="30"/>
      <c r="R87" s="30"/>
      <c r="S87" s="31" t="str">
        <f>HYPERLINK("#'Test Cases'!A5","↑ Summary")</f>
        <v>↑ Summary</v>
      </c>
    </row>
    <row r="88" ht="18" customHeight="1" spans="1:19" x14ac:dyDescent="0.25">
      <c r="A88" s="32" t="s">
        <v>477</v>
      </c>
      <c r="B88" s="32"/>
      <c r="C88" s="32"/>
      <c r="D88" s="32"/>
      <c r="E88" s="32"/>
      <c r="F88" s="32"/>
      <c r="G88" s="32"/>
      <c r="H88" s="32"/>
      <c r="I88" s="32"/>
      <c r="J88" s="32"/>
      <c r="K88" s="32"/>
      <c r="L88" s="32"/>
      <c r="M88" s="32"/>
      <c r="N88" s="32"/>
      <c r="O88" s="32"/>
      <c r="P88" s="32"/>
      <c r="Q88" s="32"/>
      <c r="R88" s="32"/>
      <c r="S88" s="32"/>
    </row>
    <row r="89" ht="30" customHeight="1" spans="1:19" x14ac:dyDescent="0.25">
      <c r="A89" s="11" t="s">
        <v>38</v>
      </c>
      <c r="B89" s="11" t="s">
        <v>39</v>
      </c>
      <c r="C89" s="11" t="s">
        <v>40</v>
      </c>
      <c r="D89" s="11" t="s">
        <v>41</v>
      </c>
      <c r="E89" s="11" t="s">
        <v>12</v>
      </c>
      <c r="F89" s="11" t="s">
        <v>42</v>
      </c>
      <c r="G89" s="11" t="s">
        <v>43</v>
      </c>
      <c r="H89" s="11" t="s">
        <v>44</v>
      </c>
      <c r="I89" s="11" t="s">
        <v>45</v>
      </c>
      <c r="J89" s="11" t="s">
        <v>46</v>
      </c>
      <c r="K89" s="11" t="s">
        <v>47</v>
      </c>
      <c r="L89" s="11" t="s">
        <v>48</v>
      </c>
      <c r="M89" s="11" t="s">
        <v>49</v>
      </c>
      <c r="N89" s="11" t="s">
        <v>50</v>
      </c>
      <c r="O89" s="11" t="s">
        <v>51</v>
      </c>
      <c r="P89" s="11" t="s">
        <v>52</v>
      </c>
      <c r="Q89" s="11" t="s">
        <v>53</v>
      </c>
      <c r="R89" s="11" t="s">
        <v>54</v>
      </c>
      <c r="S89" s="11" t="s">
        <v>55</v>
      </c>
    </row>
    <row r="90" ht="111" customHeight="1" spans="1:19" x14ac:dyDescent="0.25">
      <c r="A90" s="33">
        <v>1</v>
      </c>
      <c r="B90" s="34" t="s">
        <v>478</v>
      </c>
      <c r="C90" s="35" t="s">
        <v>479</v>
      </c>
      <c r="D90" s="36" t="s">
        <v>480</v>
      </c>
      <c r="E90" s="37" t="s">
        <v>481</v>
      </c>
      <c r="F90" s="38" t="s">
        <v>78</v>
      </c>
      <c r="G90" s="35" t="s">
        <v>482</v>
      </c>
      <c r="H90" s="39" t="s">
        <v>483</v>
      </c>
      <c r="I90" s="35" t="s">
        <v>484</v>
      </c>
      <c r="J90" s="35" t="s">
        <v>485</v>
      </c>
      <c r="K90" s="35" t="s">
        <v>486</v>
      </c>
      <c r="L90" s="36" t="s">
        <v>487</v>
      </c>
      <c r="M90" s="33" t="s">
        <v>67</v>
      </c>
      <c r="N90" s="45" t="s">
        <v>84</v>
      </c>
      <c r="O90" s="41" t="s">
        <v>69</v>
      </c>
      <c r="P90" s="42" t="s">
        <v>70</v>
      </c>
      <c r="Q90" s="43" t="s">
        <v>61</v>
      </c>
      <c r="R90" s="44" t="s">
        <v>71</v>
      </c>
      <c r="S90" s="35" t="s">
        <v>71</v>
      </c>
    </row>
    <row r="91" ht="111" customHeight="1" spans="1:19" x14ac:dyDescent="0.25">
      <c r="A91" s="47">
        <v>2</v>
      </c>
      <c r="B91" s="48" t="s">
        <v>488</v>
      </c>
      <c r="C91" s="49" t="s">
        <v>489</v>
      </c>
      <c r="D91" s="50" t="s">
        <v>480</v>
      </c>
      <c r="E91" s="51" t="s">
        <v>481</v>
      </c>
      <c r="F91" s="52" t="s">
        <v>78</v>
      </c>
      <c r="G91" s="49" t="s">
        <v>482</v>
      </c>
      <c r="H91" s="53" t="s">
        <v>490</v>
      </c>
      <c r="I91" s="49" t="s">
        <v>491</v>
      </c>
      <c r="J91" s="49" t="s">
        <v>492</v>
      </c>
      <c r="K91" s="49" t="s">
        <v>493</v>
      </c>
      <c r="L91" s="50" t="s">
        <v>494</v>
      </c>
      <c r="M91" s="47" t="s">
        <v>67</v>
      </c>
      <c r="N91" s="54" t="s">
        <v>84</v>
      </c>
      <c r="O91" s="60" t="s">
        <v>85</v>
      </c>
      <c r="P91" s="42" t="s">
        <v>70</v>
      </c>
      <c r="Q91" s="61" t="s">
        <v>61</v>
      </c>
      <c r="R91" s="62" t="s">
        <v>71</v>
      </c>
      <c r="S91" s="49" t="s">
        <v>71</v>
      </c>
    </row>
    <row r="92" ht="111" customHeight="1" spans="1:19" x14ac:dyDescent="0.25">
      <c r="A92" s="33">
        <v>3</v>
      </c>
      <c r="B92" s="34" t="s">
        <v>495</v>
      </c>
      <c r="C92" s="35" t="s">
        <v>496</v>
      </c>
      <c r="D92" s="36" t="s">
        <v>480</v>
      </c>
      <c r="E92" s="37" t="s">
        <v>481</v>
      </c>
      <c r="F92" s="38" t="s">
        <v>78</v>
      </c>
      <c r="G92" s="35" t="s">
        <v>482</v>
      </c>
      <c r="H92" s="39" t="s">
        <v>497</v>
      </c>
      <c r="I92" s="35" t="s">
        <v>498</v>
      </c>
      <c r="J92" s="35" t="s">
        <v>499</v>
      </c>
      <c r="K92" s="35" t="s">
        <v>500</v>
      </c>
      <c r="L92" s="36" t="s">
        <v>501</v>
      </c>
      <c r="M92" s="33" t="s">
        <v>67</v>
      </c>
      <c r="N92" s="45" t="s">
        <v>84</v>
      </c>
      <c r="O92" s="46" t="s">
        <v>85</v>
      </c>
      <c r="P92" s="42" t="s">
        <v>70</v>
      </c>
      <c r="Q92" s="43" t="s">
        <v>61</v>
      </c>
      <c r="R92" s="44" t="s">
        <v>71</v>
      </c>
      <c r="S92" s="35" t="s">
        <v>71</v>
      </c>
    </row>
    <row r="93" ht="66" customHeight="1" spans="1:19" x14ac:dyDescent="0.25">
      <c r="A93" s="47">
        <v>4</v>
      </c>
      <c r="B93" s="48" t="s">
        <v>502</v>
      </c>
      <c r="C93" s="49" t="s">
        <v>503</v>
      </c>
      <c r="D93" s="50" t="s">
        <v>480</v>
      </c>
      <c r="E93" s="51" t="s">
        <v>481</v>
      </c>
      <c r="F93" s="52" t="s">
        <v>78</v>
      </c>
      <c r="G93" s="49" t="s">
        <v>61</v>
      </c>
      <c r="H93" s="53" t="s">
        <v>504</v>
      </c>
      <c r="I93" s="49" t="s">
        <v>505</v>
      </c>
      <c r="J93" s="49" t="s">
        <v>506</v>
      </c>
      <c r="K93" s="49" t="s">
        <v>507</v>
      </c>
      <c r="L93" s="50" t="s">
        <v>508</v>
      </c>
      <c r="M93" s="47" t="s">
        <v>191</v>
      </c>
      <c r="N93" s="54" t="s">
        <v>84</v>
      </c>
      <c r="O93" s="60" t="s">
        <v>85</v>
      </c>
      <c r="P93" s="42" t="s">
        <v>70</v>
      </c>
      <c r="Q93" s="61" t="s">
        <v>61</v>
      </c>
      <c r="R93" s="62" t="s">
        <v>71</v>
      </c>
      <c r="S93" s="49" t="s">
        <v>71</v>
      </c>
    </row>
    <row r="94" ht="111" customHeight="1" spans="1:19" x14ac:dyDescent="0.25">
      <c r="A94" s="33">
        <v>5</v>
      </c>
      <c r="B94" s="34" t="s">
        <v>509</v>
      </c>
      <c r="C94" s="35" t="s">
        <v>510</v>
      </c>
      <c r="D94" s="36" t="s">
        <v>480</v>
      </c>
      <c r="E94" s="37" t="s">
        <v>481</v>
      </c>
      <c r="F94" s="38" t="s">
        <v>78</v>
      </c>
      <c r="G94" s="35" t="s">
        <v>482</v>
      </c>
      <c r="H94" s="39" t="s">
        <v>511</v>
      </c>
      <c r="I94" s="35" t="s">
        <v>512</v>
      </c>
      <c r="J94" s="35" t="s">
        <v>513</v>
      </c>
      <c r="K94" s="35" t="s">
        <v>514</v>
      </c>
      <c r="L94" s="36" t="s">
        <v>515</v>
      </c>
      <c r="M94" s="33" t="s">
        <v>191</v>
      </c>
      <c r="N94" s="45" t="s">
        <v>84</v>
      </c>
      <c r="O94" s="46" t="s">
        <v>85</v>
      </c>
      <c r="P94" s="42" t="s">
        <v>70</v>
      </c>
      <c r="Q94" s="43" t="s">
        <v>61</v>
      </c>
      <c r="R94" s="44" t="s">
        <v>71</v>
      </c>
      <c r="S94" s="35" t="s">
        <v>71</v>
      </c>
    </row>
    <row r="95" ht="111" customHeight="1" spans="1:19" x14ac:dyDescent="0.25">
      <c r="A95" s="47">
        <v>6</v>
      </c>
      <c r="B95" s="48" t="s">
        <v>516</v>
      </c>
      <c r="C95" s="49" t="s">
        <v>517</v>
      </c>
      <c r="D95" s="50" t="s">
        <v>480</v>
      </c>
      <c r="E95" s="51" t="s">
        <v>481</v>
      </c>
      <c r="F95" s="52" t="s">
        <v>78</v>
      </c>
      <c r="G95" s="49" t="s">
        <v>482</v>
      </c>
      <c r="H95" s="53" t="s">
        <v>518</v>
      </c>
      <c r="I95" s="49" t="s">
        <v>519</v>
      </c>
      <c r="J95" s="49" t="s">
        <v>520</v>
      </c>
      <c r="K95" s="49" t="s">
        <v>521</v>
      </c>
      <c r="L95" s="50" t="s">
        <v>522</v>
      </c>
      <c r="M95" s="47" t="s">
        <v>207</v>
      </c>
      <c r="N95" s="54" t="s">
        <v>84</v>
      </c>
      <c r="O95" s="55" t="s">
        <v>95</v>
      </c>
      <c r="P95" s="42" t="s">
        <v>70</v>
      </c>
      <c r="Q95" s="61" t="s">
        <v>61</v>
      </c>
      <c r="R95" s="62" t="s">
        <v>71</v>
      </c>
      <c r="S95" s="49" t="s">
        <v>71</v>
      </c>
    </row>
    <row r="96" ht="111" customHeight="1" spans="1:19" x14ac:dyDescent="0.25">
      <c r="A96" s="33">
        <v>7</v>
      </c>
      <c r="B96" s="34" t="s">
        <v>523</v>
      </c>
      <c r="C96" s="35" t="s">
        <v>524</v>
      </c>
      <c r="D96" s="36" t="s">
        <v>480</v>
      </c>
      <c r="E96" s="37" t="s">
        <v>481</v>
      </c>
      <c r="F96" s="38" t="s">
        <v>78</v>
      </c>
      <c r="G96" s="35" t="s">
        <v>482</v>
      </c>
      <c r="H96" s="39" t="s">
        <v>525</v>
      </c>
      <c r="I96" s="35" t="s">
        <v>526</v>
      </c>
      <c r="J96" s="35" t="s">
        <v>527</v>
      </c>
      <c r="K96" s="35" t="s">
        <v>528</v>
      </c>
      <c r="L96" s="36" t="s">
        <v>529</v>
      </c>
      <c r="M96" s="33" t="s">
        <v>207</v>
      </c>
      <c r="N96" s="45" t="s">
        <v>84</v>
      </c>
      <c r="O96" s="64" t="s">
        <v>95</v>
      </c>
      <c r="P96" s="42" t="s">
        <v>70</v>
      </c>
      <c r="Q96" s="43" t="s">
        <v>61</v>
      </c>
      <c r="R96" s="44" t="s">
        <v>71</v>
      </c>
      <c r="S96" s="35" t="s">
        <v>71</v>
      </c>
    </row>
    <row r="97" ht="111" customHeight="1" spans="1:19" x14ac:dyDescent="0.25">
      <c r="A97" s="47">
        <v>8</v>
      </c>
      <c r="B97" s="48" t="s">
        <v>530</v>
      </c>
      <c r="C97" s="49" t="s">
        <v>531</v>
      </c>
      <c r="D97" s="50" t="s">
        <v>480</v>
      </c>
      <c r="E97" s="51" t="s">
        <v>481</v>
      </c>
      <c r="F97" s="52" t="s">
        <v>78</v>
      </c>
      <c r="G97" s="49" t="s">
        <v>482</v>
      </c>
      <c r="H97" s="53" t="s">
        <v>532</v>
      </c>
      <c r="I97" s="49" t="s">
        <v>533</v>
      </c>
      <c r="J97" s="49" t="s">
        <v>534</v>
      </c>
      <c r="K97" s="49" t="s">
        <v>535</v>
      </c>
      <c r="L97" s="50" t="s">
        <v>536</v>
      </c>
      <c r="M97" s="47" t="s">
        <v>67</v>
      </c>
      <c r="N97" s="54" t="s">
        <v>84</v>
      </c>
      <c r="O97" s="59" t="s">
        <v>69</v>
      </c>
      <c r="P97" s="42" t="s">
        <v>70</v>
      </c>
      <c r="Q97" s="61" t="s">
        <v>61</v>
      </c>
      <c r="R97" s="62" t="s">
        <v>71</v>
      </c>
      <c r="S97" s="49" t="s">
        <v>71</v>
      </c>
    </row>
    <row r="98" ht="111" customHeight="1" spans="1:19" x14ac:dyDescent="0.25">
      <c r="A98" s="33">
        <v>9</v>
      </c>
      <c r="B98" s="34" t="s">
        <v>537</v>
      </c>
      <c r="C98" s="35" t="s">
        <v>538</v>
      </c>
      <c r="D98" s="36" t="s">
        <v>480</v>
      </c>
      <c r="E98" s="37" t="s">
        <v>481</v>
      </c>
      <c r="F98" s="38" t="s">
        <v>78</v>
      </c>
      <c r="G98" s="35" t="s">
        <v>482</v>
      </c>
      <c r="H98" s="39" t="s">
        <v>539</v>
      </c>
      <c r="I98" s="35" t="s">
        <v>540</v>
      </c>
      <c r="J98" s="35" t="s">
        <v>541</v>
      </c>
      <c r="K98" s="35" t="s">
        <v>542</v>
      </c>
      <c r="L98" s="36" t="s">
        <v>543</v>
      </c>
      <c r="M98" s="33" t="s">
        <v>191</v>
      </c>
      <c r="N98" s="45" t="s">
        <v>84</v>
      </c>
      <c r="O98" s="41" t="s">
        <v>69</v>
      </c>
      <c r="P98" s="42" t="s">
        <v>70</v>
      </c>
      <c r="Q98" s="43" t="s">
        <v>61</v>
      </c>
      <c r="R98" s="44" t="s">
        <v>71</v>
      </c>
      <c r="S98" s="35" t="s">
        <v>71</v>
      </c>
    </row>
    <row r="99" ht="111" customHeight="1" spans="1:19" x14ac:dyDescent="0.25">
      <c r="A99" s="47">
        <v>10</v>
      </c>
      <c r="B99" s="48" t="s">
        <v>544</v>
      </c>
      <c r="C99" s="49" t="s">
        <v>545</v>
      </c>
      <c r="D99" s="50" t="s">
        <v>480</v>
      </c>
      <c r="E99" s="51" t="s">
        <v>481</v>
      </c>
      <c r="F99" s="52" t="s">
        <v>78</v>
      </c>
      <c r="G99" s="49" t="s">
        <v>482</v>
      </c>
      <c r="H99" s="53" t="s">
        <v>546</v>
      </c>
      <c r="I99" s="49" t="s">
        <v>547</v>
      </c>
      <c r="J99" s="49" t="s">
        <v>548</v>
      </c>
      <c r="K99" s="49" t="s">
        <v>549</v>
      </c>
      <c r="L99" s="50" t="s">
        <v>550</v>
      </c>
      <c r="M99" s="47" t="s">
        <v>67</v>
      </c>
      <c r="N99" s="54" t="s">
        <v>84</v>
      </c>
      <c r="O99" s="60" t="s">
        <v>85</v>
      </c>
      <c r="P99" s="42" t="s">
        <v>70</v>
      </c>
      <c r="Q99" s="61" t="s">
        <v>61</v>
      </c>
      <c r="R99" s="62" t="s">
        <v>71</v>
      </c>
      <c r="S99" s="49" t="s">
        <v>71</v>
      </c>
    </row>
    <row r="100" ht="111" customHeight="1" spans="1:19" x14ac:dyDescent="0.25">
      <c r="A100" s="33">
        <v>11</v>
      </c>
      <c r="B100" s="34" t="s">
        <v>551</v>
      </c>
      <c r="C100" s="35" t="s">
        <v>552</v>
      </c>
      <c r="D100" s="36" t="s">
        <v>480</v>
      </c>
      <c r="E100" s="37" t="s">
        <v>481</v>
      </c>
      <c r="F100" s="38" t="s">
        <v>78</v>
      </c>
      <c r="G100" s="35" t="s">
        <v>482</v>
      </c>
      <c r="H100" s="39" t="s">
        <v>553</v>
      </c>
      <c r="I100" s="35" t="s">
        <v>554</v>
      </c>
      <c r="J100" s="35" t="s">
        <v>555</v>
      </c>
      <c r="K100" s="35" t="s">
        <v>556</v>
      </c>
      <c r="L100" s="36" t="s">
        <v>557</v>
      </c>
      <c r="M100" s="33" t="s">
        <v>67</v>
      </c>
      <c r="N100" s="45" t="s">
        <v>84</v>
      </c>
      <c r="O100" s="46" t="s">
        <v>85</v>
      </c>
      <c r="P100" s="42" t="s">
        <v>70</v>
      </c>
      <c r="Q100" s="43" t="s">
        <v>61</v>
      </c>
      <c r="R100" s="44" t="s">
        <v>71</v>
      </c>
      <c r="S100" s="35" t="s">
        <v>71</v>
      </c>
    </row>
    <row r="101" ht="111" customHeight="1" spans="1:19" x14ac:dyDescent="0.25">
      <c r="A101" s="47">
        <v>12</v>
      </c>
      <c r="B101" s="48" t="s">
        <v>558</v>
      </c>
      <c r="C101" s="49" t="s">
        <v>559</v>
      </c>
      <c r="D101" s="50" t="s">
        <v>480</v>
      </c>
      <c r="E101" s="51" t="s">
        <v>481</v>
      </c>
      <c r="F101" s="52" t="s">
        <v>78</v>
      </c>
      <c r="G101" s="49" t="s">
        <v>482</v>
      </c>
      <c r="H101" s="53" t="s">
        <v>560</v>
      </c>
      <c r="I101" s="49" t="s">
        <v>561</v>
      </c>
      <c r="J101" s="49" t="s">
        <v>562</v>
      </c>
      <c r="K101" s="49" t="s">
        <v>563</v>
      </c>
      <c r="L101" s="50" t="s">
        <v>564</v>
      </c>
      <c r="M101" s="47" t="s">
        <v>191</v>
      </c>
      <c r="N101" s="54" t="s">
        <v>84</v>
      </c>
      <c r="O101" s="65" t="s">
        <v>367</v>
      </c>
      <c r="P101" s="42" t="s">
        <v>70</v>
      </c>
      <c r="Q101" s="61" t="s">
        <v>61</v>
      </c>
      <c r="R101" s="62" t="s">
        <v>71</v>
      </c>
      <c r="S101" s="49" t="s">
        <v>71</v>
      </c>
    </row>
    <row r="102" ht="111" customHeight="1" spans="1:19" x14ac:dyDescent="0.25">
      <c r="A102" s="33">
        <v>13</v>
      </c>
      <c r="B102" s="34" t="s">
        <v>565</v>
      </c>
      <c r="C102" s="35" t="s">
        <v>566</v>
      </c>
      <c r="D102" s="36" t="s">
        <v>480</v>
      </c>
      <c r="E102" s="37" t="s">
        <v>481</v>
      </c>
      <c r="F102" s="38" t="s">
        <v>78</v>
      </c>
      <c r="G102" s="35" t="s">
        <v>482</v>
      </c>
      <c r="H102" s="39" t="s">
        <v>567</v>
      </c>
      <c r="I102" s="35" t="s">
        <v>568</v>
      </c>
      <c r="J102" s="35" t="s">
        <v>569</v>
      </c>
      <c r="K102" s="35" t="s">
        <v>570</v>
      </c>
      <c r="L102" s="36" t="s">
        <v>571</v>
      </c>
      <c r="M102" s="33" t="s">
        <v>191</v>
      </c>
      <c r="N102" s="45" t="s">
        <v>84</v>
      </c>
      <c r="O102" s="46" t="s">
        <v>85</v>
      </c>
      <c r="P102" s="42" t="s">
        <v>70</v>
      </c>
      <c r="Q102" s="43" t="s">
        <v>61</v>
      </c>
      <c r="R102" s="44" t="s">
        <v>71</v>
      </c>
      <c r="S102" s="35" t="s">
        <v>71</v>
      </c>
    </row>
    <row r="103" ht="96" customHeight="1" spans="1:19" x14ac:dyDescent="0.25">
      <c r="A103" s="47">
        <v>14</v>
      </c>
      <c r="B103" s="48" t="s">
        <v>572</v>
      </c>
      <c r="C103" s="49" t="s">
        <v>573</v>
      </c>
      <c r="D103" s="50" t="s">
        <v>480</v>
      </c>
      <c r="E103" s="51" t="s">
        <v>481</v>
      </c>
      <c r="F103" s="52" t="s">
        <v>78</v>
      </c>
      <c r="G103" s="49" t="s">
        <v>61</v>
      </c>
      <c r="H103" s="53" t="s">
        <v>574</v>
      </c>
      <c r="I103" s="49" t="s">
        <v>575</v>
      </c>
      <c r="J103" s="49" t="s">
        <v>576</v>
      </c>
      <c r="K103" s="49" t="s">
        <v>577</v>
      </c>
      <c r="L103" s="50" t="s">
        <v>578</v>
      </c>
      <c r="M103" s="47" t="s">
        <v>191</v>
      </c>
      <c r="N103" s="54" t="s">
        <v>84</v>
      </c>
      <c r="O103" s="65" t="s">
        <v>367</v>
      </c>
      <c r="P103" s="42" t="s">
        <v>70</v>
      </c>
      <c r="Q103" s="61" t="s">
        <v>61</v>
      </c>
      <c r="R103" s="62" t="s">
        <v>71</v>
      </c>
      <c r="S103" s="49" t="s">
        <v>71</v>
      </c>
    </row>
    <row r="104" ht="141" customHeight="1" spans="1:19" x14ac:dyDescent="0.25">
      <c r="A104" s="33">
        <v>15</v>
      </c>
      <c r="B104" s="34" t="s">
        <v>579</v>
      </c>
      <c r="C104" s="35" t="s">
        <v>580</v>
      </c>
      <c r="D104" s="36" t="s">
        <v>480</v>
      </c>
      <c r="E104" s="37" t="s">
        <v>481</v>
      </c>
      <c r="F104" s="38" t="s">
        <v>78</v>
      </c>
      <c r="G104" s="35" t="s">
        <v>581</v>
      </c>
      <c r="H104" s="39" t="s">
        <v>582</v>
      </c>
      <c r="I104" s="35" t="s">
        <v>583</v>
      </c>
      <c r="J104" s="35" t="s">
        <v>584</v>
      </c>
      <c r="K104" s="35" t="s">
        <v>585</v>
      </c>
      <c r="L104" s="36" t="s">
        <v>586</v>
      </c>
      <c r="M104" s="33" t="s">
        <v>67</v>
      </c>
      <c r="N104" s="45" t="s">
        <v>84</v>
      </c>
      <c r="O104" s="46" t="s">
        <v>85</v>
      </c>
      <c r="P104" s="56" t="s">
        <v>96</v>
      </c>
      <c r="Q104" s="58" t="s">
        <v>587</v>
      </c>
      <c r="R104" s="58" t="s">
        <v>588</v>
      </c>
      <c r="S104" s="35" t="s">
        <v>71</v>
      </c>
    </row>
    <row r="106" ht="28" customHeight="1" spans="1:19" x14ac:dyDescent="0.25">
      <c r="A106" s="30" t="s">
        <v>589</v>
      </c>
      <c r="B106" s="30"/>
      <c r="C106" s="30"/>
      <c r="D106" s="30"/>
      <c r="E106" s="30"/>
      <c r="F106" s="30"/>
      <c r="G106" s="30"/>
      <c r="H106" s="30"/>
      <c r="I106" s="30"/>
      <c r="J106" s="30"/>
      <c r="K106" s="30"/>
      <c r="L106" s="30"/>
      <c r="M106" s="30"/>
      <c r="N106" s="30"/>
      <c r="O106" s="30"/>
      <c r="P106" s="30"/>
      <c r="Q106" s="30"/>
      <c r="R106" s="30"/>
      <c r="S106" s="31" t="str">
        <f>HYPERLINK("#'Test Cases'!A5","↑ Summary")</f>
        <v>↑ Summary</v>
      </c>
    </row>
    <row r="107" ht="18" customHeight="1" spans="1:19" x14ac:dyDescent="0.25">
      <c r="A107" s="32" t="s">
        <v>590</v>
      </c>
      <c r="B107" s="32"/>
      <c r="C107" s="32"/>
      <c r="D107" s="32"/>
      <c r="E107" s="32"/>
      <c r="F107" s="32"/>
      <c r="G107" s="32"/>
      <c r="H107" s="32"/>
      <c r="I107" s="32"/>
      <c r="J107" s="32"/>
      <c r="K107" s="32"/>
      <c r="L107" s="32"/>
      <c r="M107" s="32"/>
      <c r="N107" s="32"/>
      <c r="O107" s="32"/>
      <c r="P107" s="32"/>
      <c r="Q107" s="32"/>
      <c r="R107" s="32"/>
      <c r="S107" s="32"/>
    </row>
    <row r="108" ht="30" customHeight="1" spans="1:19" x14ac:dyDescent="0.25">
      <c r="A108" s="11" t="s">
        <v>38</v>
      </c>
      <c r="B108" s="11" t="s">
        <v>39</v>
      </c>
      <c r="C108" s="11" t="s">
        <v>40</v>
      </c>
      <c r="D108" s="11" t="s">
        <v>41</v>
      </c>
      <c r="E108" s="11" t="s">
        <v>12</v>
      </c>
      <c r="F108" s="11" t="s">
        <v>42</v>
      </c>
      <c r="G108" s="11" t="s">
        <v>43</v>
      </c>
      <c r="H108" s="11" t="s">
        <v>44</v>
      </c>
      <c r="I108" s="11" t="s">
        <v>45</v>
      </c>
      <c r="J108" s="11" t="s">
        <v>46</v>
      </c>
      <c r="K108" s="11" t="s">
        <v>47</v>
      </c>
      <c r="L108" s="11" t="s">
        <v>48</v>
      </c>
      <c r="M108" s="11" t="s">
        <v>49</v>
      </c>
      <c r="N108" s="11" t="s">
        <v>50</v>
      </c>
      <c r="O108" s="11" t="s">
        <v>51</v>
      </c>
      <c r="P108" s="11" t="s">
        <v>52</v>
      </c>
      <c r="Q108" s="11" t="s">
        <v>53</v>
      </c>
      <c r="R108" s="11" t="s">
        <v>54</v>
      </c>
      <c r="S108" s="11" t="s">
        <v>55</v>
      </c>
    </row>
    <row r="109" ht="111" customHeight="1" spans="1:19" x14ac:dyDescent="0.25">
      <c r="A109" s="33">
        <v>1</v>
      </c>
      <c r="B109" s="34" t="s">
        <v>591</v>
      </c>
      <c r="C109" s="35" t="s">
        <v>592</v>
      </c>
      <c r="D109" s="36" t="s">
        <v>593</v>
      </c>
      <c r="E109" s="37" t="s">
        <v>594</v>
      </c>
      <c r="F109" s="38" t="s">
        <v>78</v>
      </c>
      <c r="G109" s="35" t="s">
        <v>61</v>
      </c>
      <c r="H109" s="39" t="s">
        <v>595</v>
      </c>
      <c r="I109" s="35" t="s">
        <v>596</v>
      </c>
      <c r="J109" s="35" t="s">
        <v>597</v>
      </c>
      <c r="K109" s="35" t="s">
        <v>598</v>
      </c>
      <c r="L109" s="36" t="s">
        <v>599</v>
      </c>
      <c r="M109" s="33" t="s">
        <v>67</v>
      </c>
      <c r="N109" s="40" t="s">
        <v>68</v>
      </c>
      <c r="O109" s="41" t="s">
        <v>69</v>
      </c>
      <c r="P109" s="42" t="s">
        <v>70</v>
      </c>
      <c r="Q109" s="43" t="s">
        <v>61</v>
      </c>
      <c r="R109" s="44" t="s">
        <v>71</v>
      </c>
      <c r="S109" s="35" t="s">
        <v>71</v>
      </c>
    </row>
    <row r="110" ht="81" customHeight="1" spans="1:19" x14ac:dyDescent="0.25">
      <c r="A110" s="47">
        <v>2</v>
      </c>
      <c r="B110" s="48" t="s">
        <v>600</v>
      </c>
      <c r="C110" s="49" t="s">
        <v>601</v>
      </c>
      <c r="D110" s="50" t="s">
        <v>593</v>
      </c>
      <c r="E110" s="51" t="s">
        <v>594</v>
      </c>
      <c r="F110" s="52" t="s">
        <v>78</v>
      </c>
      <c r="G110" s="49" t="s">
        <v>61</v>
      </c>
      <c r="H110" s="53" t="s">
        <v>602</v>
      </c>
      <c r="I110" s="49" t="s">
        <v>603</v>
      </c>
      <c r="J110" s="49" t="s">
        <v>604</v>
      </c>
      <c r="K110" s="49" t="s">
        <v>605</v>
      </c>
      <c r="L110" s="50" t="s">
        <v>606</v>
      </c>
      <c r="M110" s="47" t="s">
        <v>191</v>
      </c>
      <c r="N110" s="54" t="s">
        <v>84</v>
      </c>
      <c r="O110" s="60" t="s">
        <v>85</v>
      </c>
      <c r="P110" s="42" t="s">
        <v>70</v>
      </c>
      <c r="Q110" s="61" t="s">
        <v>61</v>
      </c>
      <c r="R110" s="62" t="s">
        <v>71</v>
      </c>
      <c r="S110" s="49" t="s">
        <v>71</v>
      </c>
    </row>
    <row r="111" ht="126" customHeight="1" spans="1:19" x14ac:dyDescent="0.25">
      <c r="A111" s="33">
        <v>3</v>
      </c>
      <c r="B111" s="34" t="s">
        <v>607</v>
      </c>
      <c r="C111" s="35" t="s">
        <v>608</v>
      </c>
      <c r="D111" s="36" t="s">
        <v>593</v>
      </c>
      <c r="E111" s="37" t="s">
        <v>594</v>
      </c>
      <c r="F111" s="38" t="s">
        <v>78</v>
      </c>
      <c r="G111" s="35" t="s">
        <v>61</v>
      </c>
      <c r="H111" s="39" t="s">
        <v>609</v>
      </c>
      <c r="I111" s="35" t="s">
        <v>610</v>
      </c>
      <c r="J111" s="35" t="s">
        <v>611</v>
      </c>
      <c r="K111" s="35" t="s">
        <v>612</v>
      </c>
      <c r="L111" s="36" t="s">
        <v>613</v>
      </c>
      <c r="M111" s="33" t="s">
        <v>191</v>
      </c>
      <c r="N111" s="45" t="s">
        <v>84</v>
      </c>
      <c r="O111" s="46" t="s">
        <v>85</v>
      </c>
      <c r="P111" s="42" t="s">
        <v>70</v>
      </c>
      <c r="Q111" s="43" t="s">
        <v>61</v>
      </c>
      <c r="R111" s="44" t="s">
        <v>71</v>
      </c>
      <c r="S111" s="35" t="s">
        <v>71</v>
      </c>
    </row>
    <row r="112" ht="96" customHeight="1" spans="1:19" x14ac:dyDescent="0.25">
      <c r="A112" s="47">
        <v>4</v>
      </c>
      <c r="B112" s="48" t="s">
        <v>614</v>
      </c>
      <c r="C112" s="49" t="s">
        <v>615</v>
      </c>
      <c r="D112" s="50" t="s">
        <v>593</v>
      </c>
      <c r="E112" s="51" t="s">
        <v>594</v>
      </c>
      <c r="F112" s="52" t="s">
        <v>78</v>
      </c>
      <c r="G112" s="49" t="s">
        <v>61</v>
      </c>
      <c r="H112" s="53" t="s">
        <v>616</v>
      </c>
      <c r="I112" s="49" t="s">
        <v>617</v>
      </c>
      <c r="J112" s="49" t="s">
        <v>618</v>
      </c>
      <c r="K112" s="49" t="s">
        <v>619</v>
      </c>
      <c r="L112" s="50" t="s">
        <v>620</v>
      </c>
      <c r="M112" s="47" t="s">
        <v>67</v>
      </c>
      <c r="N112" s="54" t="s">
        <v>84</v>
      </c>
      <c r="O112" s="65" t="s">
        <v>367</v>
      </c>
      <c r="P112" s="42" t="s">
        <v>70</v>
      </c>
      <c r="Q112" s="61" t="s">
        <v>61</v>
      </c>
      <c r="R112" s="62" t="s">
        <v>71</v>
      </c>
      <c r="S112" s="49" t="s">
        <v>71</v>
      </c>
    </row>
    <row r="113" ht="66" customHeight="1" spans="1:19" x14ac:dyDescent="0.25">
      <c r="A113" s="33">
        <v>5</v>
      </c>
      <c r="B113" s="34" t="s">
        <v>621</v>
      </c>
      <c r="C113" s="35" t="s">
        <v>622</v>
      </c>
      <c r="D113" s="36" t="s">
        <v>593</v>
      </c>
      <c r="E113" s="37" t="s">
        <v>594</v>
      </c>
      <c r="F113" s="38" t="s">
        <v>78</v>
      </c>
      <c r="G113" s="35" t="s">
        <v>61</v>
      </c>
      <c r="H113" s="39" t="s">
        <v>623</v>
      </c>
      <c r="I113" s="35" t="s">
        <v>624</v>
      </c>
      <c r="J113" s="35" t="s">
        <v>625</v>
      </c>
      <c r="K113" s="35" t="s">
        <v>256</v>
      </c>
      <c r="L113" s="36" t="s">
        <v>626</v>
      </c>
      <c r="M113" s="33" t="s">
        <v>191</v>
      </c>
      <c r="N113" s="45" t="s">
        <v>84</v>
      </c>
      <c r="O113" s="46" t="s">
        <v>85</v>
      </c>
      <c r="P113" s="42" t="s">
        <v>70</v>
      </c>
      <c r="Q113" s="43" t="s">
        <v>61</v>
      </c>
      <c r="R113" s="44" t="s">
        <v>71</v>
      </c>
      <c r="S113" s="35" t="s">
        <v>71</v>
      </c>
    </row>
    <row r="114" ht="96" customHeight="1" spans="1:19" x14ac:dyDescent="0.25">
      <c r="A114" s="47">
        <v>6</v>
      </c>
      <c r="B114" s="48" t="s">
        <v>627</v>
      </c>
      <c r="C114" s="49" t="s">
        <v>628</v>
      </c>
      <c r="D114" s="50" t="s">
        <v>593</v>
      </c>
      <c r="E114" s="51" t="s">
        <v>594</v>
      </c>
      <c r="F114" s="52" t="s">
        <v>78</v>
      </c>
      <c r="G114" s="49" t="s">
        <v>61</v>
      </c>
      <c r="H114" s="53" t="s">
        <v>629</v>
      </c>
      <c r="I114" s="49" t="s">
        <v>630</v>
      </c>
      <c r="J114" s="49" t="s">
        <v>631</v>
      </c>
      <c r="K114" s="49" t="s">
        <v>454</v>
      </c>
      <c r="L114" s="50" t="s">
        <v>632</v>
      </c>
      <c r="M114" s="47" t="s">
        <v>191</v>
      </c>
      <c r="N114" s="54" t="s">
        <v>84</v>
      </c>
      <c r="O114" s="60" t="s">
        <v>85</v>
      </c>
      <c r="P114" s="42" t="s">
        <v>70</v>
      </c>
      <c r="Q114" s="61" t="s">
        <v>61</v>
      </c>
      <c r="R114" s="62" t="s">
        <v>71</v>
      </c>
      <c r="S114" s="49" t="s">
        <v>71</v>
      </c>
    </row>
    <row r="115" ht="66" customHeight="1" spans="1:19" x14ac:dyDescent="0.25">
      <c r="A115" s="33">
        <v>7</v>
      </c>
      <c r="B115" s="34" t="s">
        <v>633</v>
      </c>
      <c r="C115" s="35" t="s">
        <v>634</v>
      </c>
      <c r="D115" s="36" t="s">
        <v>593</v>
      </c>
      <c r="E115" s="37" t="s">
        <v>594</v>
      </c>
      <c r="F115" s="38" t="s">
        <v>78</v>
      </c>
      <c r="G115" s="35" t="s">
        <v>61</v>
      </c>
      <c r="H115" s="39" t="s">
        <v>635</v>
      </c>
      <c r="I115" s="35" t="s">
        <v>636</v>
      </c>
      <c r="J115" s="35" t="s">
        <v>637</v>
      </c>
      <c r="K115" s="35" t="s">
        <v>461</v>
      </c>
      <c r="L115" s="36" t="s">
        <v>638</v>
      </c>
      <c r="M115" s="33" t="s">
        <v>67</v>
      </c>
      <c r="N115" s="45" t="s">
        <v>84</v>
      </c>
      <c r="O115" s="66" t="s">
        <v>367</v>
      </c>
      <c r="P115" s="42" t="s">
        <v>70</v>
      </c>
      <c r="Q115" s="43" t="s">
        <v>61</v>
      </c>
      <c r="R115" s="44" t="s">
        <v>71</v>
      </c>
      <c r="S115" s="35" t="s">
        <v>71</v>
      </c>
    </row>
    <row r="116" ht="111" customHeight="1" spans="1:19" x14ac:dyDescent="0.25">
      <c r="A116" s="47">
        <v>8</v>
      </c>
      <c r="B116" s="48" t="s">
        <v>639</v>
      </c>
      <c r="C116" s="49" t="s">
        <v>640</v>
      </c>
      <c r="D116" s="50" t="s">
        <v>593</v>
      </c>
      <c r="E116" s="51" t="s">
        <v>594</v>
      </c>
      <c r="F116" s="52" t="s">
        <v>78</v>
      </c>
      <c r="G116" s="49" t="s">
        <v>61</v>
      </c>
      <c r="H116" s="53" t="s">
        <v>641</v>
      </c>
      <c r="I116" s="49" t="s">
        <v>642</v>
      </c>
      <c r="J116" s="49" t="s">
        <v>643</v>
      </c>
      <c r="K116" s="49" t="s">
        <v>644</v>
      </c>
      <c r="L116" s="50" t="s">
        <v>645</v>
      </c>
      <c r="M116" s="47" t="s">
        <v>191</v>
      </c>
      <c r="N116" s="54" t="s">
        <v>84</v>
      </c>
      <c r="O116" s="60" t="s">
        <v>85</v>
      </c>
      <c r="P116" s="42" t="s">
        <v>70</v>
      </c>
      <c r="Q116" s="61" t="s">
        <v>61</v>
      </c>
      <c r="R116" s="62" t="s">
        <v>71</v>
      </c>
      <c r="S116" s="49" t="s">
        <v>71</v>
      </c>
    </row>
    <row r="117" ht="81" customHeight="1" spans="1:19" x14ac:dyDescent="0.25">
      <c r="A117" s="33">
        <v>9</v>
      </c>
      <c r="B117" s="34" t="s">
        <v>646</v>
      </c>
      <c r="C117" s="35" t="s">
        <v>647</v>
      </c>
      <c r="D117" s="36" t="s">
        <v>593</v>
      </c>
      <c r="E117" s="37" t="s">
        <v>594</v>
      </c>
      <c r="F117" s="38" t="s">
        <v>78</v>
      </c>
      <c r="G117" s="35" t="s">
        <v>61</v>
      </c>
      <c r="H117" s="39" t="s">
        <v>648</v>
      </c>
      <c r="I117" s="35" t="s">
        <v>649</v>
      </c>
      <c r="J117" s="35" t="s">
        <v>650</v>
      </c>
      <c r="K117" s="35" t="s">
        <v>651</v>
      </c>
      <c r="L117" s="36" t="s">
        <v>652</v>
      </c>
      <c r="M117" s="33" t="s">
        <v>67</v>
      </c>
      <c r="N117" s="45" t="s">
        <v>84</v>
      </c>
      <c r="O117" s="41" t="s">
        <v>69</v>
      </c>
      <c r="P117" s="42" t="s">
        <v>70</v>
      </c>
      <c r="Q117" s="43" t="s">
        <v>61</v>
      </c>
      <c r="R117" s="44" t="s">
        <v>71</v>
      </c>
      <c r="S117" s="35" t="s">
        <v>71</v>
      </c>
    </row>
    <row r="118" ht="111" customHeight="1" spans="1:19" x14ac:dyDescent="0.25">
      <c r="A118" s="47">
        <v>10</v>
      </c>
      <c r="B118" s="48" t="s">
        <v>653</v>
      </c>
      <c r="C118" s="49" t="s">
        <v>654</v>
      </c>
      <c r="D118" s="50" t="s">
        <v>593</v>
      </c>
      <c r="E118" s="51" t="s">
        <v>594</v>
      </c>
      <c r="F118" s="52" t="s">
        <v>78</v>
      </c>
      <c r="G118" s="49" t="s">
        <v>61</v>
      </c>
      <c r="H118" s="53" t="s">
        <v>655</v>
      </c>
      <c r="I118" s="49" t="s">
        <v>656</v>
      </c>
      <c r="J118" s="49" t="s">
        <v>657</v>
      </c>
      <c r="K118" s="49" t="s">
        <v>658</v>
      </c>
      <c r="L118" s="50" t="s">
        <v>659</v>
      </c>
      <c r="M118" s="47" t="s">
        <v>67</v>
      </c>
      <c r="N118" s="54" t="s">
        <v>84</v>
      </c>
      <c r="O118" s="59" t="s">
        <v>69</v>
      </c>
      <c r="P118" s="42" t="s">
        <v>70</v>
      </c>
      <c r="Q118" s="61" t="s">
        <v>61</v>
      </c>
      <c r="R118" s="62" t="s">
        <v>71</v>
      </c>
      <c r="S118" s="49" t="s">
        <v>71</v>
      </c>
    </row>
    <row r="119" ht="81" customHeight="1" spans="1:19" x14ac:dyDescent="0.25">
      <c r="A119" s="33">
        <v>11</v>
      </c>
      <c r="B119" s="34" t="s">
        <v>660</v>
      </c>
      <c r="C119" s="35" t="s">
        <v>661</v>
      </c>
      <c r="D119" s="36" t="s">
        <v>593</v>
      </c>
      <c r="E119" s="37" t="s">
        <v>594</v>
      </c>
      <c r="F119" s="38" t="s">
        <v>78</v>
      </c>
      <c r="G119" s="35" t="s">
        <v>61</v>
      </c>
      <c r="H119" s="39" t="s">
        <v>662</v>
      </c>
      <c r="I119" s="35" t="s">
        <v>663</v>
      </c>
      <c r="J119" s="35" t="s">
        <v>664</v>
      </c>
      <c r="K119" s="35" t="s">
        <v>665</v>
      </c>
      <c r="L119" s="36" t="s">
        <v>666</v>
      </c>
      <c r="M119" s="33" t="s">
        <v>67</v>
      </c>
      <c r="N119" s="45" t="s">
        <v>84</v>
      </c>
      <c r="O119" s="66" t="s">
        <v>367</v>
      </c>
      <c r="P119" s="42" t="s">
        <v>70</v>
      </c>
      <c r="Q119" s="43" t="s">
        <v>61</v>
      </c>
      <c r="R119" s="44" t="s">
        <v>71</v>
      </c>
      <c r="S119" s="35" t="s">
        <v>71</v>
      </c>
    </row>
    <row r="120" ht="126" customHeight="1" spans="1:19" x14ac:dyDescent="0.25">
      <c r="A120" s="47">
        <v>12</v>
      </c>
      <c r="B120" s="48" t="s">
        <v>667</v>
      </c>
      <c r="C120" s="49" t="s">
        <v>668</v>
      </c>
      <c r="D120" s="50" t="s">
        <v>593</v>
      </c>
      <c r="E120" s="51" t="s">
        <v>594</v>
      </c>
      <c r="F120" s="52" t="s">
        <v>78</v>
      </c>
      <c r="G120" s="49" t="s">
        <v>669</v>
      </c>
      <c r="H120" s="53" t="s">
        <v>670</v>
      </c>
      <c r="I120" s="49" t="s">
        <v>671</v>
      </c>
      <c r="J120" s="49" t="s">
        <v>672</v>
      </c>
      <c r="K120" s="49" t="s">
        <v>673</v>
      </c>
      <c r="L120" s="50" t="s">
        <v>674</v>
      </c>
      <c r="M120" s="47" t="s">
        <v>67</v>
      </c>
      <c r="N120" s="54" t="s">
        <v>84</v>
      </c>
      <c r="O120" s="65" t="s">
        <v>367</v>
      </c>
      <c r="P120" s="56" t="s">
        <v>96</v>
      </c>
      <c r="Q120" s="57" t="s">
        <v>675</v>
      </c>
      <c r="R120" s="57" t="s">
        <v>676</v>
      </c>
      <c r="S120" s="49" t="s">
        <v>71</v>
      </c>
    </row>
    <row r="122" ht="28" customHeight="1" spans="1:19" x14ac:dyDescent="0.25">
      <c r="A122" s="30" t="s">
        <v>677</v>
      </c>
      <c r="B122" s="30"/>
      <c r="C122" s="30"/>
      <c r="D122" s="30"/>
      <c r="E122" s="30"/>
      <c r="F122" s="30"/>
      <c r="G122" s="30"/>
      <c r="H122" s="30"/>
      <c r="I122" s="30"/>
      <c r="J122" s="30"/>
      <c r="K122" s="30"/>
      <c r="L122" s="30"/>
      <c r="M122" s="30"/>
      <c r="N122" s="30"/>
      <c r="O122" s="30"/>
      <c r="P122" s="30"/>
      <c r="Q122" s="30"/>
      <c r="R122" s="30"/>
      <c r="S122" s="31" t="str">
        <f>HYPERLINK("#'Test Cases'!A5","↑ Summary")</f>
        <v>↑ Summary</v>
      </c>
    </row>
    <row r="123" ht="18" customHeight="1" spans="1:19" x14ac:dyDescent="0.25">
      <c r="A123" s="32" t="s">
        <v>678</v>
      </c>
      <c r="B123" s="32"/>
      <c r="C123" s="32"/>
      <c r="D123" s="32"/>
      <c r="E123" s="32"/>
      <c r="F123" s="32"/>
      <c r="G123" s="32"/>
      <c r="H123" s="32"/>
      <c r="I123" s="32"/>
      <c r="J123" s="32"/>
      <c r="K123" s="32"/>
      <c r="L123" s="32"/>
      <c r="M123" s="32"/>
      <c r="N123" s="32"/>
      <c r="O123" s="32"/>
      <c r="P123" s="32"/>
      <c r="Q123" s="32"/>
      <c r="R123" s="32"/>
      <c r="S123" s="32"/>
    </row>
    <row r="124" ht="30" customHeight="1" spans="1:19" x14ac:dyDescent="0.25">
      <c r="A124" s="11" t="s">
        <v>38</v>
      </c>
      <c r="B124" s="11" t="s">
        <v>39</v>
      </c>
      <c r="C124" s="11" t="s">
        <v>40</v>
      </c>
      <c r="D124" s="11" t="s">
        <v>41</v>
      </c>
      <c r="E124" s="11" t="s">
        <v>12</v>
      </c>
      <c r="F124" s="11" t="s">
        <v>42</v>
      </c>
      <c r="G124" s="11" t="s">
        <v>43</v>
      </c>
      <c r="H124" s="11" t="s">
        <v>44</v>
      </c>
      <c r="I124" s="11" t="s">
        <v>45</v>
      </c>
      <c r="J124" s="11" t="s">
        <v>46</v>
      </c>
      <c r="K124" s="11" t="s">
        <v>47</v>
      </c>
      <c r="L124" s="11" t="s">
        <v>48</v>
      </c>
      <c r="M124" s="11" t="s">
        <v>49</v>
      </c>
      <c r="N124" s="11" t="s">
        <v>50</v>
      </c>
      <c r="O124" s="11" t="s">
        <v>51</v>
      </c>
      <c r="P124" s="11" t="s">
        <v>52</v>
      </c>
      <c r="Q124" s="11" t="s">
        <v>53</v>
      </c>
      <c r="R124" s="11" t="s">
        <v>54</v>
      </c>
      <c r="S124" s="11" t="s">
        <v>55</v>
      </c>
    </row>
    <row r="125" ht="126" customHeight="1" spans="1:19" x14ac:dyDescent="0.25">
      <c r="A125" s="33">
        <v>1</v>
      </c>
      <c r="B125" s="34" t="s">
        <v>679</v>
      </c>
      <c r="C125" s="35" t="s">
        <v>680</v>
      </c>
      <c r="D125" s="36" t="s">
        <v>681</v>
      </c>
      <c r="E125" s="37" t="s">
        <v>682</v>
      </c>
      <c r="F125" s="38" t="s">
        <v>78</v>
      </c>
      <c r="G125" s="35" t="s">
        <v>683</v>
      </c>
      <c r="H125" s="39" t="s">
        <v>684</v>
      </c>
      <c r="I125" s="35" t="s">
        <v>685</v>
      </c>
      <c r="J125" s="35" t="s">
        <v>686</v>
      </c>
      <c r="K125" s="35" t="s">
        <v>687</v>
      </c>
      <c r="L125" s="36" t="s">
        <v>688</v>
      </c>
      <c r="M125" s="33" t="s">
        <v>67</v>
      </c>
      <c r="N125" s="45" t="s">
        <v>84</v>
      </c>
      <c r="O125" s="41" t="s">
        <v>69</v>
      </c>
      <c r="P125" s="42" t="s">
        <v>70</v>
      </c>
      <c r="Q125" s="43" t="s">
        <v>61</v>
      </c>
      <c r="R125" s="44" t="s">
        <v>71</v>
      </c>
      <c r="S125" s="35" t="s">
        <v>71</v>
      </c>
    </row>
    <row r="126" ht="126" customHeight="1" spans="1:19" x14ac:dyDescent="0.25">
      <c r="A126" s="47">
        <v>2</v>
      </c>
      <c r="B126" s="48" t="s">
        <v>689</v>
      </c>
      <c r="C126" s="49" t="s">
        <v>690</v>
      </c>
      <c r="D126" s="50" t="s">
        <v>681</v>
      </c>
      <c r="E126" s="51" t="s">
        <v>682</v>
      </c>
      <c r="F126" s="52" t="s">
        <v>78</v>
      </c>
      <c r="G126" s="49" t="s">
        <v>178</v>
      </c>
      <c r="H126" s="53" t="s">
        <v>691</v>
      </c>
      <c r="I126" s="49" t="s">
        <v>692</v>
      </c>
      <c r="J126" s="49" t="s">
        <v>693</v>
      </c>
      <c r="K126" s="49" t="s">
        <v>694</v>
      </c>
      <c r="L126" s="50" t="s">
        <v>695</v>
      </c>
      <c r="M126" s="47" t="s">
        <v>191</v>
      </c>
      <c r="N126" s="54" t="s">
        <v>84</v>
      </c>
      <c r="O126" s="60" t="s">
        <v>85</v>
      </c>
      <c r="P126" s="42" t="s">
        <v>70</v>
      </c>
      <c r="Q126" s="61" t="s">
        <v>61</v>
      </c>
      <c r="R126" s="62" t="s">
        <v>71</v>
      </c>
      <c r="S126" s="49" t="s">
        <v>71</v>
      </c>
    </row>
    <row r="128" ht="28" customHeight="1" spans="1:19" x14ac:dyDescent="0.25">
      <c r="A128" s="30" t="s">
        <v>696</v>
      </c>
      <c r="B128" s="30"/>
      <c r="C128" s="30"/>
      <c r="D128" s="30"/>
      <c r="E128" s="30"/>
      <c r="F128" s="30"/>
      <c r="G128" s="30"/>
      <c r="H128" s="30"/>
      <c r="I128" s="30"/>
      <c r="J128" s="30"/>
      <c r="K128" s="30"/>
      <c r="L128" s="30"/>
      <c r="M128" s="30"/>
      <c r="N128" s="30"/>
      <c r="O128" s="30"/>
      <c r="P128" s="30"/>
      <c r="Q128" s="30"/>
      <c r="R128" s="30"/>
      <c r="S128" s="31" t="str">
        <f>HYPERLINK("#'Test Cases'!A5","↑ Summary")</f>
        <v>↑ Summary</v>
      </c>
    </row>
    <row r="129" ht="18" customHeight="1" spans="1:19" x14ac:dyDescent="0.25">
      <c r="A129" s="32" t="s">
        <v>697</v>
      </c>
      <c r="B129" s="32"/>
      <c r="C129" s="32"/>
      <c r="D129" s="32"/>
      <c r="E129" s="32"/>
      <c r="F129" s="32"/>
      <c r="G129" s="32"/>
      <c r="H129" s="32"/>
      <c r="I129" s="32"/>
      <c r="J129" s="32"/>
      <c r="K129" s="32"/>
      <c r="L129" s="32"/>
      <c r="M129" s="32"/>
      <c r="N129" s="32"/>
      <c r="O129" s="32"/>
      <c r="P129" s="32"/>
      <c r="Q129" s="32"/>
      <c r="R129" s="32"/>
      <c r="S129" s="32"/>
    </row>
    <row r="130" ht="30" customHeight="1" spans="1:19" x14ac:dyDescent="0.25">
      <c r="A130" s="11" t="s">
        <v>38</v>
      </c>
      <c r="B130" s="11" t="s">
        <v>39</v>
      </c>
      <c r="C130" s="11" t="s">
        <v>40</v>
      </c>
      <c r="D130" s="11" t="s">
        <v>41</v>
      </c>
      <c r="E130" s="11" t="s">
        <v>12</v>
      </c>
      <c r="F130" s="11" t="s">
        <v>42</v>
      </c>
      <c r="G130" s="11" t="s">
        <v>43</v>
      </c>
      <c r="H130" s="11" t="s">
        <v>44</v>
      </c>
      <c r="I130" s="11" t="s">
        <v>45</v>
      </c>
      <c r="J130" s="11" t="s">
        <v>46</v>
      </c>
      <c r="K130" s="11" t="s">
        <v>47</v>
      </c>
      <c r="L130" s="11" t="s">
        <v>48</v>
      </c>
      <c r="M130" s="11" t="s">
        <v>49</v>
      </c>
      <c r="N130" s="11" t="s">
        <v>50</v>
      </c>
      <c r="O130" s="11" t="s">
        <v>51</v>
      </c>
      <c r="P130" s="11" t="s">
        <v>52</v>
      </c>
      <c r="Q130" s="11" t="s">
        <v>53</v>
      </c>
      <c r="R130" s="11" t="s">
        <v>54</v>
      </c>
      <c r="S130" s="11" t="s">
        <v>55</v>
      </c>
    </row>
    <row r="131" ht="126" customHeight="1" spans="1:19" x14ac:dyDescent="0.25">
      <c r="A131" s="33">
        <v>1</v>
      </c>
      <c r="B131" s="34" t="s">
        <v>698</v>
      </c>
      <c r="C131" s="35" t="s">
        <v>699</v>
      </c>
      <c r="D131" s="36" t="s">
        <v>681</v>
      </c>
      <c r="E131" s="37" t="s">
        <v>700</v>
      </c>
      <c r="F131" s="38" t="s">
        <v>78</v>
      </c>
      <c r="G131" s="35" t="s">
        <v>683</v>
      </c>
      <c r="H131" s="39" t="s">
        <v>701</v>
      </c>
      <c r="I131" s="35" t="s">
        <v>702</v>
      </c>
      <c r="J131" s="35" t="s">
        <v>703</v>
      </c>
      <c r="K131" s="35" t="s">
        <v>704</v>
      </c>
      <c r="L131" s="36" t="s">
        <v>705</v>
      </c>
      <c r="M131" s="33" t="s">
        <v>67</v>
      </c>
      <c r="N131" s="45" t="s">
        <v>84</v>
      </c>
      <c r="O131" s="41" t="s">
        <v>69</v>
      </c>
      <c r="P131" s="42" t="s">
        <v>70</v>
      </c>
      <c r="Q131" s="43" t="s">
        <v>61</v>
      </c>
      <c r="R131" s="44" t="s">
        <v>71</v>
      </c>
      <c r="S131" s="35" t="s">
        <v>71</v>
      </c>
    </row>
    <row r="132" ht="126" customHeight="1" spans="1:19" x14ac:dyDescent="0.25">
      <c r="A132" s="47">
        <v>2</v>
      </c>
      <c r="B132" s="48" t="s">
        <v>706</v>
      </c>
      <c r="C132" s="49" t="s">
        <v>707</v>
      </c>
      <c r="D132" s="50" t="s">
        <v>681</v>
      </c>
      <c r="E132" s="51" t="s">
        <v>700</v>
      </c>
      <c r="F132" s="52" t="s">
        <v>78</v>
      </c>
      <c r="G132" s="49" t="s">
        <v>683</v>
      </c>
      <c r="H132" s="53" t="s">
        <v>708</v>
      </c>
      <c r="I132" s="49" t="s">
        <v>709</v>
      </c>
      <c r="J132" s="49" t="s">
        <v>710</v>
      </c>
      <c r="K132" s="49" t="s">
        <v>711</v>
      </c>
      <c r="L132" s="50" t="s">
        <v>712</v>
      </c>
      <c r="M132" s="47" t="s">
        <v>191</v>
      </c>
      <c r="N132" s="54" t="s">
        <v>84</v>
      </c>
      <c r="O132" s="60" t="s">
        <v>85</v>
      </c>
      <c r="P132" s="42" t="s">
        <v>70</v>
      </c>
      <c r="Q132" s="61" t="s">
        <v>61</v>
      </c>
      <c r="R132" s="62" t="s">
        <v>71</v>
      </c>
      <c r="S132" s="49" t="s">
        <v>71</v>
      </c>
    </row>
    <row r="133" ht="156" customHeight="1" spans="1:19" x14ac:dyDescent="0.25">
      <c r="A133" s="33">
        <v>3</v>
      </c>
      <c r="B133" s="34" t="s">
        <v>713</v>
      </c>
      <c r="C133" s="35" t="s">
        <v>714</v>
      </c>
      <c r="D133" s="36" t="s">
        <v>681</v>
      </c>
      <c r="E133" s="37" t="s">
        <v>700</v>
      </c>
      <c r="F133" s="38" t="s">
        <v>78</v>
      </c>
      <c r="G133" s="35" t="s">
        <v>715</v>
      </c>
      <c r="H133" s="39" t="s">
        <v>716</v>
      </c>
      <c r="I133" s="35" t="s">
        <v>717</v>
      </c>
      <c r="J133" s="35" t="s">
        <v>718</v>
      </c>
      <c r="K133" s="35" t="s">
        <v>719</v>
      </c>
      <c r="L133" s="36" t="s">
        <v>720</v>
      </c>
      <c r="M133" s="33" t="s">
        <v>191</v>
      </c>
      <c r="N133" s="45" t="s">
        <v>84</v>
      </c>
      <c r="O133" s="46" t="s">
        <v>85</v>
      </c>
      <c r="P133" s="42" t="s">
        <v>70</v>
      </c>
      <c r="Q133" s="43" t="s">
        <v>61</v>
      </c>
      <c r="R133" s="44" t="s">
        <v>71</v>
      </c>
      <c r="S133" s="35" t="s">
        <v>71</v>
      </c>
    </row>
    <row r="135" ht="28" customHeight="1" spans="1:19" x14ac:dyDescent="0.25">
      <c r="A135" s="30" t="s">
        <v>721</v>
      </c>
      <c r="B135" s="30"/>
      <c r="C135" s="30"/>
      <c r="D135" s="30"/>
      <c r="E135" s="30"/>
      <c r="F135" s="30"/>
      <c r="G135" s="30"/>
      <c r="H135" s="30"/>
      <c r="I135" s="30"/>
      <c r="J135" s="30"/>
      <c r="K135" s="30"/>
      <c r="L135" s="30"/>
      <c r="M135" s="30"/>
      <c r="N135" s="30"/>
      <c r="O135" s="30"/>
      <c r="P135" s="30"/>
      <c r="Q135" s="30"/>
      <c r="R135" s="30"/>
      <c r="S135" s="31" t="str">
        <f>HYPERLINK("#'Test Cases'!A5","↑ Summary")</f>
        <v>↑ Summary</v>
      </c>
    </row>
    <row r="136" ht="18" customHeight="1" spans="1:19" x14ac:dyDescent="0.25">
      <c r="A136" s="32" t="s">
        <v>722</v>
      </c>
      <c r="B136" s="32"/>
      <c r="C136" s="32"/>
      <c r="D136" s="32"/>
      <c r="E136" s="32"/>
      <c r="F136" s="32"/>
      <c r="G136" s="32"/>
      <c r="H136" s="32"/>
      <c r="I136" s="32"/>
      <c r="J136" s="32"/>
      <c r="K136" s="32"/>
      <c r="L136" s="32"/>
      <c r="M136" s="32"/>
      <c r="N136" s="32"/>
      <c r="O136" s="32"/>
      <c r="P136" s="32"/>
      <c r="Q136" s="32"/>
      <c r="R136" s="32"/>
      <c r="S136" s="32"/>
    </row>
    <row r="137" ht="30" customHeight="1" spans="1:19" x14ac:dyDescent="0.25">
      <c r="A137" s="11" t="s">
        <v>38</v>
      </c>
      <c r="B137" s="11" t="s">
        <v>39</v>
      </c>
      <c r="C137" s="11" t="s">
        <v>40</v>
      </c>
      <c r="D137" s="11" t="s">
        <v>41</v>
      </c>
      <c r="E137" s="11" t="s">
        <v>12</v>
      </c>
      <c r="F137" s="11" t="s">
        <v>42</v>
      </c>
      <c r="G137" s="11" t="s">
        <v>43</v>
      </c>
      <c r="H137" s="11" t="s">
        <v>44</v>
      </c>
      <c r="I137" s="11" t="s">
        <v>45</v>
      </c>
      <c r="J137" s="11" t="s">
        <v>46</v>
      </c>
      <c r="K137" s="11" t="s">
        <v>47</v>
      </c>
      <c r="L137" s="11" t="s">
        <v>48</v>
      </c>
      <c r="M137" s="11" t="s">
        <v>49</v>
      </c>
      <c r="N137" s="11" t="s">
        <v>50</v>
      </c>
      <c r="O137" s="11" t="s">
        <v>51</v>
      </c>
      <c r="P137" s="11" t="s">
        <v>52</v>
      </c>
      <c r="Q137" s="11" t="s">
        <v>53</v>
      </c>
      <c r="R137" s="11" t="s">
        <v>54</v>
      </c>
      <c r="S137" s="11" t="s">
        <v>55</v>
      </c>
    </row>
    <row r="138" ht="261" customHeight="1" spans="1:19" x14ac:dyDescent="0.25">
      <c r="A138" s="33">
        <v>1</v>
      </c>
      <c r="B138" s="34" t="s">
        <v>723</v>
      </c>
      <c r="C138" s="35" t="s">
        <v>724</v>
      </c>
      <c r="D138" s="36" t="s">
        <v>88</v>
      </c>
      <c r="E138" s="37" t="s">
        <v>725</v>
      </c>
      <c r="F138" s="38" t="s">
        <v>78</v>
      </c>
      <c r="G138" s="35" t="s">
        <v>726</v>
      </c>
      <c r="H138" s="39" t="s">
        <v>727</v>
      </c>
      <c r="I138" s="35" t="s">
        <v>728</v>
      </c>
      <c r="J138" s="35" t="s">
        <v>729</v>
      </c>
      <c r="K138" s="35" t="s">
        <v>730</v>
      </c>
      <c r="L138" s="36" t="s">
        <v>731</v>
      </c>
      <c r="M138" s="33" t="s">
        <v>88</v>
      </c>
      <c r="N138" s="45" t="s">
        <v>84</v>
      </c>
      <c r="O138" s="46" t="s">
        <v>85</v>
      </c>
      <c r="P138" s="56" t="s">
        <v>96</v>
      </c>
      <c r="Q138" s="58" t="s">
        <v>97</v>
      </c>
      <c r="R138" s="58" t="s">
        <v>98</v>
      </c>
      <c r="S138" s="35" t="s">
        <v>71</v>
      </c>
    </row>
    <row r="139" ht="126" customHeight="1" spans="1:19" x14ac:dyDescent="0.25">
      <c r="A139" s="47">
        <v>2</v>
      </c>
      <c r="B139" s="48" t="s">
        <v>732</v>
      </c>
      <c r="C139" s="49" t="s">
        <v>733</v>
      </c>
      <c r="D139" s="50" t="s">
        <v>681</v>
      </c>
      <c r="E139" s="51" t="s">
        <v>725</v>
      </c>
      <c r="F139" s="52" t="s">
        <v>78</v>
      </c>
      <c r="G139" s="49" t="s">
        <v>683</v>
      </c>
      <c r="H139" s="53" t="s">
        <v>734</v>
      </c>
      <c r="I139" s="49" t="s">
        <v>735</v>
      </c>
      <c r="J139" s="49" t="s">
        <v>736</v>
      </c>
      <c r="K139" s="49" t="s">
        <v>737</v>
      </c>
      <c r="L139" s="50" t="s">
        <v>738</v>
      </c>
      <c r="M139" s="47" t="s">
        <v>67</v>
      </c>
      <c r="N139" s="54" t="s">
        <v>84</v>
      </c>
      <c r="O139" s="59" t="s">
        <v>69</v>
      </c>
      <c r="P139" s="42" t="s">
        <v>70</v>
      </c>
      <c r="Q139" s="61" t="s">
        <v>61</v>
      </c>
      <c r="R139" s="62" t="s">
        <v>71</v>
      </c>
      <c r="S139" s="49" t="s">
        <v>71</v>
      </c>
    </row>
    <row r="140" ht="156" customHeight="1" spans="1:19" x14ac:dyDescent="0.25">
      <c r="A140" s="33">
        <v>3</v>
      </c>
      <c r="B140" s="34" t="s">
        <v>739</v>
      </c>
      <c r="C140" s="35" t="s">
        <v>740</v>
      </c>
      <c r="D140" s="36" t="s">
        <v>681</v>
      </c>
      <c r="E140" s="37" t="s">
        <v>725</v>
      </c>
      <c r="F140" s="38" t="s">
        <v>78</v>
      </c>
      <c r="G140" s="35" t="s">
        <v>715</v>
      </c>
      <c r="H140" s="39" t="s">
        <v>741</v>
      </c>
      <c r="I140" s="35" t="s">
        <v>742</v>
      </c>
      <c r="J140" s="35" t="s">
        <v>743</v>
      </c>
      <c r="K140" s="35" t="s">
        <v>744</v>
      </c>
      <c r="L140" s="36" t="s">
        <v>745</v>
      </c>
      <c r="M140" s="33" t="s">
        <v>191</v>
      </c>
      <c r="N140" s="45" t="s">
        <v>84</v>
      </c>
      <c r="O140" s="46" t="s">
        <v>85</v>
      </c>
      <c r="P140" s="42" t="s">
        <v>70</v>
      </c>
      <c r="Q140" s="43" t="s">
        <v>61</v>
      </c>
      <c r="R140" s="44" t="s">
        <v>71</v>
      </c>
      <c r="S140" s="35" t="s">
        <v>71</v>
      </c>
    </row>
    <row r="141" ht="111" customHeight="1" spans="1:19" x14ac:dyDescent="0.25">
      <c r="A141" s="47">
        <v>4</v>
      </c>
      <c r="B141" s="48" t="s">
        <v>746</v>
      </c>
      <c r="C141" s="49" t="s">
        <v>747</v>
      </c>
      <c r="D141" s="50" t="s">
        <v>681</v>
      </c>
      <c r="E141" s="51" t="s">
        <v>725</v>
      </c>
      <c r="F141" s="52" t="s">
        <v>78</v>
      </c>
      <c r="G141" s="49" t="s">
        <v>178</v>
      </c>
      <c r="H141" s="53" t="s">
        <v>748</v>
      </c>
      <c r="I141" s="49" t="s">
        <v>749</v>
      </c>
      <c r="J141" s="49" t="s">
        <v>750</v>
      </c>
      <c r="K141" s="49" t="s">
        <v>751</v>
      </c>
      <c r="L141" s="50" t="s">
        <v>752</v>
      </c>
      <c r="M141" s="47" t="s">
        <v>67</v>
      </c>
      <c r="N141" s="54" t="s">
        <v>84</v>
      </c>
      <c r="O141" s="59" t="s">
        <v>69</v>
      </c>
      <c r="P141" s="42" t="s">
        <v>70</v>
      </c>
      <c r="Q141" s="61" t="s">
        <v>61</v>
      </c>
      <c r="R141" s="62" t="s">
        <v>71</v>
      </c>
      <c r="S141" s="49" t="s">
        <v>71</v>
      </c>
    </row>
    <row r="143" ht="28" customHeight="1" spans="1:19" x14ac:dyDescent="0.25">
      <c r="A143" s="30" t="s">
        <v>753</v>
      </c>
      <c r="B143" s="30"/>
      <c r="C143" s="30"/>
      <c r="D143" s="30"/>
      <c r="E143" s="30"/>
      <c r="F143" s="30"/>
      <c r="G143" s="30"/>
      <c r="H143" s="30"/>
      <c r="I143" s="30"/>
      <c r="J143" s="30"/>
      <c r="K143" s="30"/>
      <c r="L143" s="30"/>
      <c r="M143" s="30"/>
      <c r="N143" s="30"/>
      <c r="O143" s="30"/>
      <c r="P143" s="30"/>
      <c r="Q143" s="30"/>
      <c r="R143" s="30"/>
      <c r="S143" s="31" t="str">
        <f>HYPERLINK("#'Test Cases'!A5","↑ Summary")</f>
        <v>↑ Summary</v>
      </c>
    </row>
    <row r="144" ht="18" customHeight="1" spans="1:19" x14ac:dyDescent="0.25">
      <c r="A144" s="32" t="s">
        <v>754</v>
      </c>
      <c r="B144" s="32"/>
      <c r="C144" s="32"/>
      <c r="D144" s="32"/>
      <c r="E144" s="32"/>
      <c r="F144" s="32"/>
      <c r="G144" s="32"/>
      <c r="H144" s="32"/>
      <c r="I144" s="32"/>
      <c r="J144" s="32"/>
      <c r="K144" s="32"/>
      <c r="L144" s="32"/>
      <c r="M144" s="32"/>
      <c r="N144" s="32"/>
      <c r="O144" s="32"/>
      <c r="P144" s="32"/>
      <c r="Q144" s="32"/>
      <c r="R144" s="32"/>
      <c r="S144" s="32"/>
    </row>
    <row r="145" ht="30" customHeight="1" spans="1:19" x14ac:dyDescent="0.25">
      <c r="A145" s="11" t="s">
        <v>38</v>
      </c>
      <c r="B145" s="11" t="s">
        <v>39</v>
      </c>
      <c r="C145" s="11" t="s">
        <v>40</v>
      </c>
      <c r="D145" s="11" t="s">
        <v>41</v>
      </c>
      <c r="E145" s="11" t="s">
        <v>12</v>
      </c>
      <c r="F145" s="11" t="s">
        <v>42</v>
      </c>
      <c r="G145" s="11" t="s">
        <v>43</v>
      </c>
      <c r="H145" s="11" t="s">
        <v>44</v>
      </c>
      <c r="I145" s="11" t="s">
        <v>45</v>
      </c>
      <c r="J145" s="11" t="s">
        <v>46</v>
      </c>
      <c r="K145" s="11" t="s">
        <v>47</v>
      </c>
      <c r="L145" s="11" t="s">
        <v>48</v>
      </c>
      <c r="M145" s="11" t="s">
        <v>49</v>
      </c>
      <c r="N145" s="11" t="s">
        <v>50</v>
      </c>
      <c r="O145" s="11" t="s">
        <v>51</v>
      </c>
      <c r="P145" s="11" t="s">
        <v>52</v>
      </c>
      <c r="Q145" s="11" t="s">
        <v>53</v>
      </c>
      <c r="R145" s="11" t="s">
        <v>54</v>
      </c>
      <c r="S145" s="11" t="s">
        <v>55</v>
      </c>
    </row>
    <row r="146" ht="186" customHeight="1" spans="1:19" x14ac:dyDescent="0.25">
      <c r="A146" s="33">
        <v>1</v>
      </c>
      <c r="B146" s="34" t="s">
        <v>755</v>
      </c>
      <c r="C146" s="35" t="s">
        <v>756</v>
      </c>
      <c r="D146" s="36" t="s">
        <v>88</v>
      </c>
      <c r="E146" s="37" t="s">
        <v>757</v>
      </c>
      <c r="F146" s="38" t="s">
        <v>78</v>
      </c>
      <c r="G146" s="35" t="s">
        <v>758</v>
      </c>
      <c r="H146" s="39" t="s">
        <v>759</v>
      </c>
      <c r="I146" s="35" t="s">
        <v>760</v>
      </c>
      <c r="J146" s="35" t="s">
        <v>761</v>
      </c>
      <c r="K146" s="35" t="s">
        <v>762</v>
      </c>
      <c r="L146" s="36" t="s">
        <v>763</v>
      </c>
      <c r="M146" s="33" t="s">
        <v>88</v>
      </c>
      <c r="N146" s="45" t="s">
        <v>84</v>
      </c>
      <c r="O146" s="41" t="s">
        <v>69</v>
      </c>
      <c r="P146" s="56" t="s">
        <v>96</v>
      </c>
      <c r="Q146" s="58" t="s">
        <v>97</v>
      </c>
      <c r="R146" s="58" t="s">
        <v>98</v>
      </c>
      <c r="S146" s="35" t="s">
        <v>71</v>
      </c>
    </row>
    <row r="147" ht="111" customHeight="1" spans="1:19" x14ac:dyDescent="0.25">
      <c r="A147" s="47">
        <v>2</v>
      </c>
      <c r="B147" s="48" t="s">
        <v>764</v>
      </c>
      <c r="C147" s="49" t="s">
        <v>765</v>
      </c>
      <c r="D147" s="50" t="s">
        <v>766</v>
      </c>
      <c r="E147" s="51" t="s">
        <v>757</v>
      </c>
      <c r="F147" s="52" t="s">
        <v>78</v>
      </c>
      <c r="G147" s="49" t="s">
        <v>767</v>
      </c>
      <c r="H147" s="53" t="s">
        <v>768</v>
      </c>
      <c r="I147" s="49" t="s">
        <v>769</v>
      </c>
      <c r="J147" s="49" t="s">
        <v>770</v>
      </c>
      <c r="K147" s="49" t="s">
        <v>771</v>
      </c>
      <c r="L147" s="50" t="s">
        <v>772</v>
      </c>
      <c r="M147" s="47" t="s">
        <v>67</v>
      </c>
      <c r="N147" s="54" t="s">
        <v>84</v>
      </c>
      <c r="O147" s="59" t="s">
        <v>69</v>
      </c>
      <c r="P147" s="42" t="s">
        <v>70</v>
      </c>
      <c r="Q147" s="61" t="s">
        <v>61</v>
      </c>
      <c r="R147" s="62" t="s">
        <v>71</v>
      </c>
      <c r="S147" s="49" t="s">
        <v>71</v>
      </c>
    </row>
    <row r="148" ht="111" customHeight="1" spans="1:19" x14ac:dyDescent="0.25">
      <c r="A148" s="33">
        <v>3</v>
      </c>
      <c r="B148" s="34" t="s">
        <v>773</v>
      </c>
      <c r="C148" s="35" t="s">
        <v>774</v>
      </c>
      <c r="D148" s="36" t="s">
        <v>766</v>
      </c>
      <c r="E148" s="37" t="s">
        <v>757</v>
      </c>
      <c r="F148" s="38" t="s">
        <v>78</v>
      </c>
      <c r="G148" s="35" t="s">
        <v>767</v>
      </c>
      <c r="H148" s="39" t="s">
        <v>775</v>
      </c>
      <c r="I148" s="35" t="s">
        <v>776</v>
      </c>
      <c r="J148" s="35" t="s">
        <v>777</v>
      </c>
      <c r="K148" s="35" t="s">
        <v>778</v>
      </c>
      <c r="L148" s="36" t="s">
        <v>779</v>
      </c>
      <c r="M148" s="33" t="s">
        <v>207</v>
      </c>
      <c r="N148" s="45" t="s">
        <v>84</v>
      </c>
      <c r="O148" s="41" t="s">
        <v>69</v>
      </c>
      <c r="P148" s="42" t="s">
        <v>70</v>
      </c>
      <c r="Q148" s="43" t="s">
        <v>61</v>
      </c>
      <c r="R148" s="44" t="s">
        <v>71</v>
      </c>
      <c r="S148" s="35" t="s">
        <v>71</v>
      </c>
    </row>
    <row r="150" ht="28" customHeight="1" spans="1:19" x14ac:dyDescent="0.25">
      <c r="A150" s="30" t="s">
        <v>780</v>
      </c>
      <c r="B150" s="30"/>
      <c r="C150" s="30"/>
      <c r="D150" s="30"/>
      <c r="E150" s="30"/>
      <c r="F150" s="30"/>
      <c r="G150" s="30"/>
      <c r="H150" s="30"/>
      <c r="I150" s="30"/>
      <c r="J150" s="30"/>
      <c r="K150" s="30"/>
      <c r="L150" s="30"/>
      <c r="M150" s="30"/>
      <c r="N150" s="30"/>
      <c r="O150" s="30"/>
      <c r="P150" s="30"/>
      <c r="Q150" s="30"/>
      <c r="R150" s="30"/>
      <c r="S150" s="31" t="str">
        <f>HYPERLINK("#'Test Cases'!A5","↑ Summary")</f>
        <v>↑ Summary</v>
      </c>
    </row>
    <row r="151" ht="18" customHeight="1" spans="1:19" x14ac:dyDescent="0.25">
      <c r="A151" s="32" t="s">
        <v>781</v>
      </c>
      <c r="B151" s="32"/>
      <c r="C151" s="32"/>
      <c r="D151" s="32"/>
      <c r="E151" s="32"/>
      <c r="F151" s="32"/>
      <c r="G151" s="32"/>
      <c r="H151" s="32"/>
      <c r="I151" s="32"/>
      <c r="J151" s="32"/>
      <c r="K151" s="32"/>
      <c r="L151" s="32"/>
      <c r="M151" s="32"/>
      <c r="N151" s="32"/>
      <c r="O151" s="32"/>
      <c r="P151" s="32"/>
      <c r="Q151" s="32"/>
      <c r="R151" s="32"/>
      <c r="S151" s="32"/>
    </row>
    <row r="152" ht="30" customHeight="1" spans="1:19" x14ac:dyDescent="0.25">
      <c r="A152" s="11" t="s">
        <v>38</v>
      </c>
      <c r="B152" s="11" t="s">
        <v>39</v>
      </c>
      <c r="C152" s="11" t="s">
        <v>40</v>
      </c>
      <c r="D152" s="11" t="s">
        <v>41</v>
      </c>
      <c r="E152" s="11" t="s">
        <v>12</v>
      </c>
      <c r="F152" s="11" t="s">
        <v>42</v>
      </c>
      <c r="G152" s="11" t="s">
        <v>43</v>
      </c>
      <c r="H152" s="11" t="s">
        <v>44</v>
      </c>
      <c r="I152" s="11" t="s">
        <v>45</v>
      </c>
      <c r="J152" s="11" t="s">
        <v>46</v>
      </c>
      <c r="K152" s="11" t="s">
        <v>47</v>
      </c>
      <c r="L152" s="11" t="s">
        <v>48</v>
      </c>
      <c r="M152" s="11" t="s">
        <v>49</v>
      </c>
      <c r="N152" s="11" t="s">
        <v>50</v>
      </c>
      <c r="O152" s="11" t="s">
        <v>51</v>
      </c>
      <c r="P152" s="11" t="s">
        <v>52</v>
      </c>
      <c r="Q152" s="11" t="s">
        <v>53</v>
      </c>
      <c r="R152" s="11" t="s">
        <v>54</v>
      </c>
      <c r="S152" s="11" t="s">
        <v>55</v>
      </c>
    </row>
    <row r="153" ht="111" customHeight="1" spans="1:19" x14ac:dyDescent="0.25">
      <c r="A153" s="33">
        <v>1</v>
      </c>
      <c r="B153" s="34" t="s">
        <v>782</v>
      </c>
      <c r="C153" s="35" t="s">
        <v>783</v>
      </c>
      <c r="D153" s="36" t="s">
        <v>766</v>
      </c>
      <c r="E153" s="37" t="s">
        <v>784</v>
      </c>
      <c r="F153" s="38" t="s">
        <v>78</v>
      </c>
      <c r="G153" s="35" t="s">
        <v>767</v>
      </c>
      <c r="H153" s="39" t="s">
        <v>785</v>
      </c>
      <c r="I153" s="35" t="s">
        <v>786</v>
      </c>
      <c r="J153" s="35" t="s">
        <v>787</v>
      </c>
      <c r="K153" s="35" t="s">
        <v>788</v>
      </c>
      <c r="L153" s="36" t="s">
        <v>789</v>
      </c>
      <c r="M153" s="33" t="s">
        <v>67</v>
      </c>
      <c r="N153" s="45" t="s">
        <v>84</v>
      </c>
      <c r="O153" s="41" t="s">
        <v>69</v>
      </c>
      <c r="P153" s="42" t="s">
        <v>70</v>
      </c>
      <c r="Q153" s="43" t="s">
        <v>61</v>
      </c>
      <c r="R153" s="44" t="s">
        <v>71</v>
      </c>
      <c r="S153" s="35" t="s">
        <v>71</v>
      </c>
    </row>
    <row r="154" ht="156" customHeight="1" spans="1:19" x14ac:dyDescent="0.25">
      <c r="A154" s="47">
        <v>2</v>
      </c>
      <c r="B154" s="48" t="s">
        <v>790</v>
      </c>
      <c r="C154" s="49" t="s">
        <v>791</v>
      </c>
      <c r="D154" s="50" t="s">
        <v>766</v>
      </c>
      <c r="E154" s="51" t="s">
        <v>784</v>
      </c>
      <c r="F154" s="52" t="s">
        <v>78</v>
      </c>
      <c r="G154" s="49" t="s">
        <v>767</v>
      </c>
      <c r="H154" s="53" t="s">
        <v>792</v>
      </c>
      <c r="I154" s="49" t="s">
        <v>793</v>
      </c>
      <c r="J154" s="49" t="s">
        <v>794</v>
      </c>
      <c r="K154" s="49" t="s">
        <v>795</v>
      </c>
      <c r="L154" s="50" t="s">
        <v>796</v>
      </c>
      <c r="M154" s="47" t="s">
        <v>67</v>
      </c>
      <c r="N154" s="54" t="s">
        <v>84</v>
      </c>
      <c r="O154" s="59" t="s">
        <v>69</v>
      </c>
      <c r="P154" s="42" t="s">
        <v>70</v>
      </c>
      <c r="Q154" s="61" t="s">
        <v>61</v>
      </c>
      <c r="R154" s="62" t="s">
        <v>71</v>
      </c>
      <c r="S154" s="49" t="s">
        <v>71</v>
      </c>
    </row>
    <row r="155" ht="111" customHeight="1" spans="1:19" x14ac:dyDescent="0.25">
      <c r="A155" s="33">
        <v>3</v>
      </c>
      <c r="B155" s="34" t="s">
        <v>797</v>
      </c>
      <c r="C155" s="35" t="s">
        <v>798</v>
      </c>
      <c r="D155" s="36" t="s">
        <v>766</v>
      </c>
      <c r="E155" s="37" t="s">
        <v>784</v>
      </c>
      <c r="F155" s="38" t="s">
        <v>78</v>
      </c>
      <c r="G155" s="35" t="s">
        <v>767</v>
      </c>
      <c r="H155" s="39" t="s">
        <v>799</v>
      </c>
      <c r="I155" s="35" t="s">
        <v>800</v>
      </c>
      <c r="J155" s="35" t="s">
        <v>801</v>
      </c>
      <c r="K155" s="35" t="s">
        <v>802</v>
      </c>
      <c r="L155" s="36" t="s">
        <v>803</v>
      </c>
      <c r="M155" s="33" t="s">
        <v>191</v>
      </c>
      <c r="N155" s="45" t="s">
        <v>84</v>
      </c>
      <c r="O155" s="46" t="s">
        <v>85</v>
      </c>
      <c r="P155" s="42" t="s">
        <v>70</v>
      </c>
      <c r="Q155" s="43" t="s">
        <v>61</v>
      </c>
      <c r="R155" s="44" t="s">
        <v>71</v>
      </c>
      <c r="S155" s="35" t="s">
        <v>71</v>
      </c>
    </row>
    <row r="156" ht="186" customHeight="1" spans="1:19" x14ac:dyDescent="0.25">
      <c r="A156" s="47">
        <v>4</v>
      </c>
      <c r="B156" s="48" t="s">
        <v>804</v>
      </c>
      <c r="C156" s="49" t="s">
        <v>805</v>
      </c>
      <c r="D156" s="50" t="s">
        <v>766</v>
      </c>
      <c r="E156" s="51" t="s">
        <v>784</v>
      </c>
      <c r="F156" s="52" t="s">
        <v>78</v>
      </c>
      <c r="G156" s="49" t="s">
        <v>767</v>
      </c>
      <c r="H156" s="53" t="s">
        <v>785</v>
      </c>
      <c r="I156" s="49" t="s">
        <v>806</v>
      </c>
      <c r="J156" s="49" t="s">
        <v>807</v>
      </c>
      <c r="K156" s="49" t="s">
        <v>808</v>
      </c>
      <c r="L156" s="50" t="s">
        <v>809</v>
      </c>
      <c r="M156" s="47" t="s">
        <v>67</v>
      </c>
      <c r="N156" s="54" t="s">
        <v>84</v>
      </c>
      <c r="O156" s="60" t="s">
        <v>85</v>
      </c>
      <c r="P156" s="42" t="s">
        <v>70</v>
      </c>
      <c r="Q156" s="61" t="s">
        <v>61</v>
      </c>
      <c r="R156" s="62" t="s">
        <v>71</v>
      </c>
      <c r="S156" s="49" t="s">
        <v>71</v>
      </c>
    </row>
    <row r="158" ht="28" customHeight="1" spans="1:19" x14ac:dyDescent="0.25">
      <c r="A158" s="30" t="s">
        <v>810</v>
      </c>
      <c r="B158" s="30"/>
      <c r="C158" s="30"/>
      <c r="D158" s="30"/>
      <c r="E158" s="30"/>
      <c r="F158" s="30"/>
      <c r="G158" s="30"/>
      <c r="H158" s="30"/>
      <c r="I158" s="30"/>
      <c r="J158" s="30"/>
      <c r="K158" s="30"/>
      <c r="L158" s="30"/>
      <c r="M158" s="30"/>
      <c r="N158" s="30"/>
      <c r="O158" s="30"/>
      <c r="P158" s="30"/>
      <c r="Q158" s="30"/>
      <c r="R158" s="30"/>
      <c r="S158" s="31" t="str">
        <f>HYPERLINK("#'Test Cases'!A5","↑ Summary")</f>
        <v>↑ Summary</v>
      </c>
    </row>
    <row r="159" ht="18" customHeight="1" spans="1:19" x14ac:dyDescent="0.25">
      <c r="A159" s="32" t="s">
        <v>811</v>
      </c>
      <c r="B159" s="32"/>
      <c r="C159" s="32"/>
      <c r="D159" s="32"/>
      <c r="E159" s="32"/>
      <c r="F159" s="32"/>
      <c r="G159" s="32"/>
      <c r="H159" s="32"/>
      <c r="I159" s="32"/>
      <c r="J159" s="32"/>
      <c r="K159" s="32"/>
      <c r="L159" s="32"/>
      <c r="M159" s="32"/>
      <c r="N159" s="32"/>
      <c r="O159" s="32"/>
      <c r="P159" s="32"/>
      <c r="Q159" s="32"/>
      <c r="R159" s="32"/>
      <c r="S159" s="32"/>
    </row>
    <row r="160" ht="30" customHeight="1" spans="1:19" x14ac:dyDescent="0.25">
      <c r="A160" s="11" t="s">
        <v>38</v>
      </c>
      <c r="B160" s="11" t="s">
        <v>39</v>
      </c>
      <c r="C160" s="11" t="s">
        <v>40</v>
      </c>
      <c r="D160" s="11" t="s">
        <v>41</v>
      </c>
      <c r="E160" s="11" t="s">
        <v>12</v>
      </c>
      <c r="F160" s="11" t="s">
        <v>42</v>
      </c>
      <c r="G160" s="11" t="s">
        <v>43</v>
      </c>
      <c r="H160" s="11" t="s">
        <v>44</v>
      </c>
      <c r="I160" s="11" t="s">
        <v>45</v>
      </c>
      <c r="J160" s="11" t="s">
        <v>46</v>
      </c>
      <c r="K160" s="11" t="s">
        <v>47</v>
      </c>
      <c r="L160" s="11" t="s">
        <v>48</v>
      </c>
      <c r="M160" s="11" t="s">
        <v>49</v>
      </c>
      <c r="N160" s="11" t="s">
        <v>50</v>
      </c>
      <c r="O160" s="11" t="s">
        <v>51</v>
      </c>
      <c r="P160" s="11" t="s">
        <v>52</v>
      </c>
      <c r="Q160" s="11" t="s">
        <v>53</v>
      </c>
      <c r="R160" s="11" t="s">
        <v>54</v>
      </c>
      <c r="S160" s="11" t="s">
        <v>55</v>
      </c>
    </row>
    <row r="161" ht="111" customHeight="1" spans="1:19" x14ac:dyDescent="0.25">
      <c r="A161" s="33">
        <v>1</v>
      </c>
      <c r="B161" s="34" t="s">
        <v>812</v>
      </c>
      <c r="C161" s="35" t="s">
        <v>813</v>
      </c>
      <c r="D161" s="36" t="s">
        <v>766</v>
      </c>
      <c r="E161" s="37" t="s">
        <v>814</v>
      </c>
      <c r="F161" s="38" t="s">
        <v>78</v>
      </c>
      <c r="G161" s="35" t="s">
        <v>815</v>
      </c>
      <c r="H161" s="39" t="s">
        <v>816</v>
      </c>
      <c r="I161" s="35" t="s">
        <v>817</v>
      </c>
      <c r="J161" s="35" t="s">
        <v>818</v>
      </c>
      <c r="K161" s="35" t="s">
        <v>819</v>
      </c>
      <c r="L161" s="36" t="s">
        <v>820</v>
      </c>
      <c r="M161" s="33" t="s">
        <v>191</v>
      </c>
      <c r="N161" s="45" t="s">
        <v>84</v>
      </c>
      <c r="O161" s="46" t="s">
        <v>85</v>
      </c>
      <c r="P161" s="56" t="s">
        <v>96</v>
      </c>
      <c r="Q161" s="58" t="s">
        <v>821</v>
      </c>
      <c r="R161" s="58" t="s">
        <v>822</v>
      </c>
      <c r="S161" s="35" t="s">
        <v>71</v>
      </c>
    </row>
    <row r="162" ht="111" customHeight="1" spans="1:19" x14ac:dyDescent="0.25">
      <c r="A162" s="47">
        <v>2</v>
      </c>
      <c r="B162" s="48" t="s">
        <v>823</v>
      </c>
      <c r="C162" s="49" t="s">
        <v>824</v>
      </c>
      <c r="D162" s="50" t="s">
        <v>766</v>
      </c>
      <c r="E162" s="51" t="s">
        <v>814</v>
      </c>
      <c r="F162" s="52" t="s">
        <v>78</v>
      </c>
      <c r="G162" s="49" t="s">
        <v>767</v>
      </c>
      <c r="H162" s="53" t="s">
        <v>825</v>
      </c>
      <c r="I162" s="49" t="s">
        <v>826</v>
      </c>
      <c r="J162" s="49" t="s">
        <v>827</v>
      </c>
      <c r="K162" s="49" t="s">
        <v>828</v>
      </c>
      <c r="L162" s="50" t="s">
        <v>829</v>
      </c>
      <c r="M162" s="47" t="s">
        <v>191</v>
      </c>
      <c r="N162" s="54" t="s">
        <v>84</v>
      </c>
      <c r="O162" s="60" t="s">
        <v>85</v>
      </c>
      <c r="P162" s="42" t="s">
        <v>70</v>
      </c>
      <c r="Q162" s="61" t="s">
        <v>61</v>
      </c>
      <c r="R162" s="62" t="s">
        <v>71</v>
      </c>
      <c r="S162" s="49" t="s">
        <v>71</v>
      </c>
    </row>
    <row r="164" ht="28" customHeight="1" spans="1:19" x14ac:dyDescent="0.25">
      <c r="A164" s="30" t="s">
        <v>830</v>
      </c>
      <c r="B164" s="30"/>
      <c r="C164" s="30"/>
      <c r="D164" s="30"/>
      <c r="E164" s="30"/>
      <c r="F164" s="30"/>
      <c r="G164" s="30"/>
      <c r="H164" s="30"/>
      <c r="I164" s="30"/>
      <c r="J164" s="30"/>
      <c r="K164" s="30"/>
      <c r="L164" s="30"/>
      <c r="M164" s="30"/>
      <c r="N164" s="30"/>
      <c r="O164" s="30"/>
      <c r="P164" s="30"/>
      <c r="Q164" s="30"/>
      <c r="R164" s="30"/>
      <c r="S164" s="31" t="str">
        <f>HYPERLINK("#'Test Cases'!A5","↑ Summary")</f>
        <v>↑ Summary</v>
      </c>
    </row>
    <row r="165" ht="18" customHeight="1" spans="1:19" x14ac:dyDescent="0.25">
      <c r="A165" s="32" t="s">
        <v>831</v>
      </c>
      <c r="B165" s="32"/>
      <c r="C165" s="32"/>
      <c r="D165" s="32"/>
      <c r="E165" s="32"/>
      <c r="F165" s="32"/>
      <c r="G165" s="32"/>
      <c r="H165" s="32"/>
      <c r="I165" s="32"/>
      <c r="J165" s="32"/>
      <c r="K165" s="32"/>
      <c r="L165" s="32"/>
      <c r="M165" s="32"/>
      <c r="N165" s="32"/>
      <c r="O165" s="32"/>
      <c r="P165" s="32"/>
      <c r="Q165" s="32"/>
      <c r="R165" s="32"/>
      <c r="S165" s="32"/>
    </row>
    <row r="166" ht="30" customHeight="1" spans="1:19" x14ac:dyDescent="0.25">
      <c r="A166" s="11" t="s">
        <v>38</v>
      </c>
      <c r="B166" s="11" t="s">
        <v>39</v>
      </c>
      <c r="C166" s="11" t="s">
        <v>40</v>
      </c>
      <c r="D166" s="11" t="s">
        <v>41</v>
      </c>
      <c r="E166" s="11" t="s">
        <v>12</v>
      </c>
      <c r="F166" s="11" t="s">
        <v>42</v>
      </c>
      <c r="G166" s="11" t="s">
        <v>43</v>
      </c>
      <c r="H166" s="11" t="s">
        <v>44</v>
      </c>
      <c r="I166" s="11" t="s">
        <v>45</v>
      </c>
      <c r="J166" s="11" t="s">
        <v>46</v>
      </c>
      <c r="K166" s="11" t="s">
        <v>47</v>
      </c>
      <c r="L166" s="11" t="s">
        <v>48</v>
      </c>
      <c r="M166" s="11" t="s">
        <v>49</v>
      </c>
      <c r="N166" s="11" t="s">
        <v>50</v>
      </c>
      <c r="O166" s="11" t="s">
        <v>51</v>
      </c>
      <c r="P166" s="11" t="s">
        <v>52</v>
      </c>
      <c r="Q166" s="11" t="s">
        <v>53</v>
      </c>
      <c r="R166" s="11" t="s">
        <v>54</v>
      </c>
      <c r="S166" s="11" t="s">
        <v>55</v>
      </c>
    </row>
    <row r="167" ht="141" customHeight="1" spans="1:19" x14ac:dyDescent="0.25">
      <c r="A167" s="33">
        <v>1</v>
      </c>
      <c r="B167" s="34" t="s">
        <v>832</v>
      </c>
      <c r="C167" s="35" t="s">
        <v>833</v>
      </c>
      <c r="D167" s="36" t="s">
        <v>76</v>
      </c>
      <c r="E167" s="37" t="s">
        <v>35</v>
      </c>
      <c r="F167" s="38" t="s">
        <v>834</v>
      </c>
      <c r="G167" s="35" t="s">
        <v>61</v>
      </c>
      <c r="H167" s="39" t="s">
        <v>835</v>
      </c>
      <c r="I167" s="35" t="s">
        <v>836</v>
      </c>
      <c r="J167" s="35" t="s">
        <v>837</v>
      </c>
      <c r="K167" s="35" t="s">
        <v>838</v>
      </c>
      <c r="L167" s="36" t="s">
        <v>839</v>
      </c>
      <c r="M167" s="33" t="s">
        <v>76</v>
      </c>
      <c r="N167" s="45" t="s">
        <v>84</v>
      </c>
      <c r="O167" s="41" t="s">
        <v>69</v>
      </c>
      <c r="P167" s="42" t="s">
        <v>70</v>
      </c>
      <c r="Q167" s="43" t="s">
        <v>61</v>
      </c>
      <c r="R167" s="44" t="s">
        <v>71</v>
      </c>
      <c r="S167" s="35" t="s">
        <v>71</v>
      </c>
    </row>
    <row r="168" ht="171" customHeight="1" spans="1:19" x14ac:dyDescent="0.25">
      <c r="A168" s="47">
        <v>2</v>
      </c>
      <c r="B168" s="48" t="s">
        <v>840</v>
      </c>
      <c r="C168" s="49" t="s">
        <v>841</v>
      </c>
      <c r="D168" s="50" t="s">
        <v>76</v>
      </c>
      <c r="E168" s="51" t="s">
        <v>35</v>
      </c>
      <c r="F168" s="52" t="s">
        <v>834</v>
      </c>
      <c r="G168" s="49" t="s">
        <v>61</v>
      </c>
      <c r="H168" s="53" t="s">
        <v>842</v>
      </c>
      <c r="I168" s="49" t="s">
        <v>843</v>
      </c>
      <c r="J168" s="49" t="s">
        <v>844</v>
      </c>
      <c r="K168" s="49" t="s">
        <v>845</v>
      </c>
      <c r="L168" s="50" t="s">
        <v>846</v>
      </c>
      <c r="M168" s="47" t="s">
        <v>76</v>
      </c>
      <c r="N168" s="54" t="s">
        <v>84</v>
      </c>
      <c r="O168" s="60" t="s">
        <v>85</v>
      </c>
      <c r="P168" s="42" t="s">
        <v>70</v>
      </c>
      <c r="Q168" s="61" t="s">
        <v>61</v>
      </c>
      <c r="R168" s="62" t="s">
        <v>71</v>
      </c>
      <c r="S168" s="49" t="s">
        <v>71</v>
      </c>
    </row>
    <row r="169" ht="171" customHeight="1" spans="1:19" x14ac:dyDescent="0.25">
      <c r="A169" s="33">
        <v>3</v>
      </c>
      <c r="B169" s="34" t="s">
        <v>847</v>
      </c>
      <c r="C169" s="35" t="s">
        <v>848</v>
      </c>
      <c r="D169" s="36" t="s">
        <v>88</v>
      </c>
      <c r="E169" s="37" t="s">
        <v>35</v>
      </c>
      <c r="F169" s="38" t="s">
        <v>834</v>
      </c>
      <c r="G169" s="35" t="s">
        <v>122</v>
      </c>
      <c r="H169" s="39" t="s">
        <v>849</v>
      </c>
      <c r="I169" s="35" t="s">
        <v>850</v>
      </c>
      <c r="J169" s="35" t="s">
        <v>851</v>
      </c>
      <c r="K169" s="35" t="s">
        <v>852</v>
      </c>
      <c r="L169" s="36" t="s">
        <v>853</v>
      </c>
      <c r="M169" s="33" t="s">
        <v>88</v>
      </c>
      <c r="N169" s="45" t="s">
        <v>84</v>
      </c>
      <c r="O169" s="66" t="s">
        <v>367</v>
      </c>
      <c r="P169" s="56" t="s">
        <v>96</v>
      </c>
      <c r="Q169" s="58" t="s">
        <v>97</v>
      </c>
      <c r="R169" s="58" t="s">
        <v>98</v>
      </c>
      <c r="S169" s="35" t="s">
        <v>71</v>
      </c>
    </row>
    <row r="170" ht="231" customHeight="1" spans="1:19" x14ac:dyDescent="0.25">
      <c r="A170" s="47">
        <v>4</v>
      </c>
      <c r="B170" s="48" t="s">
        <v>854</v>
      </c>
      <c r="C170" s="49" t="s">
        <v>855</v>
      </c>
      <c r="D170" s="50" t="s">
        <v>88</v>
      </c>
      <c r="E170" s="51" t="s">
        <v>35</v>
      </c>
      <c r="F170" s="52" t="s">
        <v>834</v>
      </c>
      <c r="G170" s="49" t="s">
        <v>160</v>
      </c>
      <c r="H170" s="53" t="s">
        <v>856</v>
      </c>
      <c r="I170" s="49" t="s">
        <v>857</v>
      </c>
      <c r="J170" s="49" t="s">
        <v>858</v>
      </c>
      <c r="K170" s="49" t="s">
        <v>859</v>
      </c>
      <c r="L170" s="50" t="s">
        <v>860</v>
      </c>
      <c r="M170" s="47" t="s">
        <v>88</v>
      </c>
      <c r="N170" s="54" t="s">
        <v>84</v>
      </c>
      <c r="O170" s="59" t="s">
        <v>69</v>
      </c>
      <c r="P170" s="56" t="s">
        <v>96</v>
      </c>
      <c r="Q170" s="57" t="s">
        <v>166</v>
      </c>
      <c r="R170" s="57" t="s">
        <v>167</v>
      </c>
      <c r="S170" s="49" t="s">
        <v>71</v>
      </c>
    </row>
    <row r="171" ht="201" customHeight="1" spans="1:19" x14ac:dyDescent="0.25">
      <c r="A171" s="33">
        <v>5</v>
      </c>
      <c r="B171" s="34" t="s">
        <v>861</v>
      </c>
      <c r="C171" s="35" t="s">
        <v>862</v>
      </c>
      <c r="D171" s="36" t="s">
        <v>170</v>
      </c>
      <c r="E171" s="37" t="s">
        <v>35</v>
      </c>
      <c r="F171" s="38" t="s">
        <v>834</v>
      </c>
      <c r="G171" s="35" t="s">
        <v>863</v>
      </c>
      <c r="H171" s="39" t="s">
        <v>864</v>
      </c>
      <c r="I171" s="35" t="s">
        <v>865</v>
      </c>
      <c r="J171" s="35" t="s">
        <v>866</v>
      </c>
      <c r="K171" s="35" t="s">
        <v>867</v>
      </c>
      <c r="L171" s="36" t="s">
        <v>868</v>
      </c>
      <c r="M171" s="33" t="s">
        <v>67</v>
      </c>
      <c r="N171" s="45" t="s">
        <v>84</v>
      </c>
      <c r="O171" s="66" t="s">
        <v>367</v>
      </c>
      <c r="P171" s="56" t="s">
        <v>96</v>
      </c>
      <c r="Q171" s="58" t="s">
        <v>869</v>
      </c>
      <c r="R171" s="58" t="s">
        <v>870</v>
      </c>
      <c r="S171" s="35" t="s">
        <v>71</v>
      </c>
    </row>
    <row r="172" ht="231" customHeight="1" spans="1:19" x14ac:dyDescent="0.25">
      <c r="A172" s="47">
        <v>6</v>
      </c>
      <c r="B172" s="48" t="s">
        <v>871</v>
      </c>
      <c r="C172" s="49" t="s">
        <v>872</v>
      </c>
      <c r="D172" s="50" t="s">
        <v>201</v>
      </c>
      <c r="E172" s="51" t="s">
        <v>35</v>
      </c>
      <c r="F172" s="52" t="s">
        <v>834</v>
      </c>
      <c r="G172" s="49" t="s">
        <v>61</v>
      </c>
      <c r="H172" s="53" t="s">
        <v>873</v>
      </c>
      <c r="I172" s="49" t="s">
        <v>874</v>
      </c>
      <c r="J172" s="49" t="s">
        <v>875</v>
      </c>
      <c r="K172" s="49" t="s">
        <v>876</v>
      </c>
      <c r="L172" s="50" t="s">
        <v>877</v>
      </c>
      <c r="M172" s="47" t="s">
        <v>207</v>
      </c>
      <c r="N172" s="54" t="s">
        <v>84</v>
      </c>
      <c r="O172" s="59" t="s">
        <v>69</v>
      </c>
      <c r="P172" s="42" t="s">
        <v>70</v>
      </c>
      <c r="Q172" s="61" t="s">
        <v>61</v>
      </c>
      <c r="R172" s="62" t="s">
        <v>71</v>
      </c>
      <c r="S172" s="49" t="s">
        <v>71</v>
      </c>
    </row>
    <row r="173" ht="216" customHeight="1" spans="1:19" x14ac:dyDescent="0.25">
      <c r="A173" s="33">
        <v>7</v>
      </c>
      <c r="B173" s="34" t="s">
        <v>878</v>
      </c>
      <c r="C173" s="35" t="s">
        <v>879</v>
      </c>
      <c r="D173" s="36" t="s">
        <v>201</v>
      </c>
      <c r="E173" s="37" t="s">
        <v>35</v>
      </c>
      <c r="F173" s="38" t="s">
        <v>834</v>
      </c>
      <c r="G173" s="35" t="s">
        <v>880</v>
      </c>
      <c r="H173" s="39" t="s">
        <v>881</v>
      </c>
      <c r="I173" s="35" t="s">
        <v>882</v>
      </c>
      <c r="J173" s="35" t="s">
        <v>883</v>
      </c>
      <c r="K173" s="35" t="s">
        <v>884</v>
      </c>
      <c r="L173" s="36" t="s">
        <v>885</v>
      </c>
      <c r="M173" s="33" t="s">
        <v>207</v>
      </c>
      <c r="N173" s="45" t="s">
        <v>84</v>
      </c>
      <c r="O173" s="46" t="s">
        <v>85</v>
      </c>
      <c r="P173" s="56" t="s">
        <v>96</v>
      </c>
      <c r="Q173" s="58" t="s">
        <v>886</v>
      </c>
      <c r="R173" s="58" t="s">
        <v>887</v>
      </c>
      <c r="S173" s="35" t="s">
        <v>71</v>
      </c>
    </row>
    <row r="174" ht="126" customHeight="1" spans="1:19" x14ac:dyDescent="0.25">
      <c r="A174" s="47">
        <v>8</v>
      </c>
      <c r="B174" s="48" t="s">
        <v>888</v>
      </c>
      <c r="C174" s="49" t="s">
        <v>889</v>
      </c>
      <c r="D174" s="50" t="s">
        <v>681</v>
      </c>
      <c r="E174" s="51" t="s">
        <v>35</v>
      </c>
      <c r="F174" s="52" t="s">
        <v>834</v>
      </c>
      <c r="G174" s="49" t="s">
        <v>178</v>
      </c>
      <c r="H174" s="53" t="s">
        <v>890</v>
      </c>
      <c r="I174" s="49" t="s">
        <v>891</v>
      </c>
      <c r="J174" s="49" t="s">
        <v>892</v>
      </c>
      <c r="K174" s="49" t="s">
        <v>893</v>
      </c>
      <c r="L174" s="50" t="s">
        <v>894</v>
      </c>
      <c r="M174" s="47" t="s">
        <v>191</v>
      </c>
      <c r="N174" s="54" t="s">
        <v>84</v>
      </c>
      <c r="O174" s="60" t="s">
        <v>85</v>
      </c>
      <c r="P174" s="42" t="s">
        <v>70</v>
      </c>
      <c r="Q174" s="61" t="s">
        <v>61</v>
      </c>
      <c r="R174" s="62" t="s">
        <v>71</v>
      </c>
      <c r="S174" s="49" t="s">
        <v>71</v>
      </c>
    </row>
    <row r="175" ht="111" customHeight="1" spans="1:19" x14ac:dyDescent="0.25">
      <c r="A175" s="33">
        <v>9</v>
      </c>
      <c r="B175" s="34" t="s">
        <v>895</v>
      </c>
      <c r="C175" s="35" t="s">
        <v>896</v>
      </c>
      <c r="D175" s="36" t="s">
        <v>210</v>
      </c>
      <c r="E175" s="37" t="s">
        <v>35</v>
      </c>
      <c r="F175" s="38" t="s">
        <v>834</v>
      </c>
      <c r="G175" s="35" t="s">
        <v>61</v>
      </c>
      <c r="H175" s="39" t="s">
        <v>897</v>
      </c>
      <c r="I175" s="35" t="s">
        <v>898</v>
      </c>
      <c r="J175" s="35" t="s">
        <v>899</v>
      </c>
      <c r="K175" s="35" t="s">
        <v>900</v>
      </c>
      <c r="L175" s="36" t="s">
        <v>901</v>
      </c>
      <c r="M175" s="33" t="s">
        <v>67</v>
      </c>
      <c r="N175" s="45" t="s">
        <v>84</v>
      </c>
      <c r="O175" s="46" t="s">
        <v>85</v>
      </c>
      <c r="P175" s="42" t="s">
        <v>70</v>
      </c>
      <c r="Q175" s="43" t="s">
        <v>61</v>
      </c>
      <c r="R175" s="44" t="s">
        <v>71</v>
      </c>
      <c r="S175" s="35" t="s">
        <v>71</v>
      </c>
    </row>
    <row r="176" ht="126" customHeight="1" spans="1:19" x14ac:dyDescent="0.25">
      <c r="A176" s="47">
        <v>10</v>
      </c>
      <c r="B176" s="48" t="s">
        <v>902</v>
      </c>
      <c r="C176" s="49" t="s">
        <v>903</v>
      </c>
      <c r="D176" s="50" t="s">
        <v>210</v>
      </c>
      <c r="E176" s="51" t="s">
        <v>35</v>
      </c>
      <c r="F176" s="52" t="s">
        <v>834</v>
      </c>
      <c r="G176" s="49" t="s">
        <v>178</v>
      </c>
      <c r="H176" s="53" t="s">
        <v>904</v>
      </c>
      <c r="I176" s="49" t="s">
        <v>905</v>
      </c>
      <c r="J176" s="49" t="s">
        <v>906</v>
      </c>
      <c r="K176" s="49" t="s">
        <v>907</v>
      </c>
      <c r="L176" s="50" t="s">
        <v>908</v>
      </c>
      <c r="M176" s="47" t="s">
        <v>67</v>
      </c>
      <c r="N176" s="54" t="s">
        <v>84</v>
      </c>
      <c r="O176" s="59" t="s">
        <v>69</v>
      </c>
      <c r="P176" s="42" t="s">
        <v>70</v>
      </c>
      <c r="Q176" s="61" t="s">
        <v>61</v>
      </c>
      <c r="R176" s="62" t="s">
        <v>71</v>
      </c>
      <c r="S176" s="49" t="s">
        <v>71</v>
      </c>
    </row>
  </sheetData>
  <mergeCells count="96">
    <mergeCell ref="A1:S1"/>
    <mergeCell ref="A2:S2"/>
    <mergeCell ref="A3:C3"/>
    <mergeCell ref="D3:E3"/>
    <mergeCell ref="J3:K3"/>
    <mergeCell ref="L3:S3"/>
    <mergeCell ref="A5:S5"/>
    <mergeCell ref="B6:C6"/>
    <mergeCell ref="D6:F6"/>
    <mergeCell ref="M6:N6"/>
    <mergeCell ref="O6:P6"/>
    <mergeCell ref="Q6:S6"/>
    <mergeCell ref="B7:C7"/>
    <mergeCell ref="D7:F7"/>
    <mergeCell ref="M7:N7"/>
    <mergeCell ref="O7:P7"/>
    <mergeCell ref="Q7:S7"/>
    <mergeCell ref="B8:C8"/>
    <mergeCell ref="D8:F8"/>
    <mergeCell ref="M8:N8"/>
    <mergeCell ref="O8:P8"/>
    <mergeCell ref="Q8:S8"/>
    <mergeCell ref="B9:C9"/>
    <mergeCell ref="D9:F9"/>
    <mergeCell ref="M9:N9"/>
    <mergeCell ref="O9:P9"/>
    <mergeCell ref="Q9:S9"/>
    <mergeCell ref="B10:C10"/>
    <mergeCell ref="D10:F10"/>
    <mergeCell ref="M10:N10"/>
    <mergeCell ref="O10:P10"/>
    <mergeCell ref="Q10:S10"/>
    <mergeCell ref="B11:C11"/>
    <mergeCell ref="D11:F11"/>
    <mergeCell ref="M11:N11"/>
    <mergeCell ref="O11:P11"/>
    <mergeCell ref="Q11:S11"/>
    <mergeCell ref="B12:C12"/>
    <mergeCell ref="D12:F12"/>
    <mergeCell ref="M12:N12"/>
    <mergeCell ref="O12:P12"/>
    <mergeCell ref="Q12:S12"/>
    <mergeCell ref="B13:C13"/>
    <mergeCell ref="D13:F13"/>
    <mergeCell ref="M13:N13"/>
    <mergeCell ref="O13:P13"/>
    <mergeCell ref="Q13:S13"/>
    <mergeCell ref="B14:C14"/>
    <mergeCell ref="D14:F14"/>
    <mergeCell ref="M14:N14"/>
    <mergeCell ref="O14:P14"/>
    <mergeCell ref="Q14:S14"/>
    <mergeCell ref="B15:C15"/>
    <mergeCell ref="D15:F15"/>
    <mergeCell ref="M15:N15"/>
    <mergeCell ref="O15:P15"/>
    <mergeCell ref="Q15:S15"/>
    <mergeCell ref="B16:C16"/>
    <mergeCell ref="D16:F16"/>
    <mergeCell ref="M16:N16"/>
    <mergeCell ref="O16:P16"/>
    <mergeCell ref="Q16:S16"/>
    <mergeCell ref="B17:C17"/>
    <mergeCell ref="D17:F17"/>
    <mergeCell ref="M17:N17"/>
    <mergeCell ref="O17:P17"/>
    <mergeCell ref="Q17:S17"/>
    <mergeCell ref="B18:C18"/>
    <mergeCell ref="D18:F18"/>
    <mergeCell ref="M18:N18"/>
    <mergeCell ref="O18:P18"/>
    <mergeCell ref="Q18:S18"/>
    <mergeCell ref="A21:R21"/>
    <mergeCell ref="A22:S22"/>
    <mergeCell ref="A26:R26"/>
    <mergeCell ref="A27:S27"/>
    <mergeCell ref="A73:R73"/>
    <mergeCell ref="A74:S74"/>
    <mergeCell ref="A87:R87"/>
    <mergeCell ref="A88:S88"/>
    <mergeCell ref="A106:R106"/>
    <mergeCell ref="A107:S107"/>
    <mergeCell ref="A122:R122"/>
    <mergeCell ref="A123:S123"/>
    <mergeCell ref="A128:R128"/>
    <mergeCell ref="A129:S129"/>
    <mergeCell ref="A135:R135"/>
    <mergeCell ref="A136:S136"/>
    <mergeCell ref="A143:R143"/>
    <mergeCell ref="A144:S144"/>
    <mergeCell ref="A150:R150"/>
    <mergeCell ref="A151:S151"/>
    <mergeCell ref="A158:R158"/>
    <mergeCell ref="A159:S159"/>
    <mergeCell ref="A164:R164"/>
    <mergeCell ref="A165:S165"/>
  </mergeCells>
  <pageMargins left="0.3" right="0.3" top="0.5" bottom="0.5" header="0.2" footer="0.2"/>
  <pageSetup paperSize="9" orientation="landscape" horizontalDpi="4294967295" verticalDpi="4294967295" scale="100" fitToWidth="1" fitToHeight="0"/>
  <headerFooter>
    <oddFooter>&amp;L&amp;8Aisle PII API Automation — API Test Cases&amp;R&amp;8Page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Aisle PII API Automation</dc:creator>
  <dc:title/>
  <dc:subject/>
  <dc:description/>
  <cp:keywords/>
  <cp:category/>
  <cp:lastModifiedBy>Unknown</cp:lastModifiedBy>
  <dcterms:created xsi:type="dcterms:W3CDTF">2026-10-07T03:50:11Z</dcterms:created>
  <dcterms:modified xsi:type="dcterms:W3CDTF">2026-10-07T03:50:11Z</dcterms:modified>
</cp:coreProperties>
</file>